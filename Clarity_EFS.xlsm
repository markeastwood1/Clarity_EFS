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ficorp-my.sharepoint.com/personal/markeastwood_fico_com/Documents/Documents/Global_Solution_Arch/Clarity_EFS/"/>
    </mc:Choice>
  </mc:AlternateContent>
  <xr:revisionPtr revIDLastSave="24838" documentId="8_{07CDDE4F-638C-574D-81B5-A163FDAA9920}" xr6:coauthVersionLast="47" xr6:coauthVersionMax="47" xr10:uidLastSave="{39DE8176-2B85-354B-B416-78A7B0F15F6F}"/>
  <bookViews>
    <workbookView xWindow="13320" yWindow="620" windowWidth="43660" windowHeight="26580" xr2:uid="{4BC68A49-7ECD-6B45-8E5D-391A2C675AD0}"/>
  </bookViews>
  <sheets>
    <sheet name="CLARITY" sheetId="2" r:id="rId1"/>
    <sheet name="Simplified" sheetId="13" r:id="rId2"/>
    <sheet name="Features" sheetId="10" r:id="rId3"/>
    <sheet name="Services" sheetId="9" r:id="rId4"/>
    <sheet name="Case Mgr" sheetId="12" r:id="rId5"/>
    <sheet name="UseCase Map" sheetId="11" r:id="rId6"/>
    <sheet name="Reference Architecture" sheetId="7" r:id="rId7"/>
    <sheet name="Executive" sheetId="6" r:id="rId8"/>
    <sheet name="PS" sheetId="4" r:id="rId9"/>
    <sheet name="Review" sheetId="5" r:id="rId10"/>
    <sheet name="Lookups Clarity" sheetId="3" r:id="rId11"/>
    <sheet name="Lookups PS" sheetId="8" r:id="rId12"/>
  </sheets>
  <functionGroups builtInGroupCount="19"/>
  <definedNames>
    <definedName name="_xleta.SHEE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4" l="1"/>
  <c r="C7" i="4" l="1"/>
  <c r="C20" i="10" l="1"/>
  <c r="G15" i="13"/>
  <c r="F15" i="13"/>
  <c r="E15" i="13"/>
  <c r="W32" i="10"/>
  <c r="W31" i="10"/>
  <c r="W30" i="10"/>
  <c r="W29" i="10"/>
  <c r="W28" i="10"/>
  <c r="W27" i="10"/>
  <c r="W26" i="10"/>
  <c r="S32" i="10"/>
  <c r="R32" i="10"/>
  <c r="S31" i="10"/>
  <c r="R31" i="10"/>
  <c r="S30" i="10"/>
  <c r="R30" i="10"/>
  <c r="S29" i="10"/>
  <c r="R29" i="10"/>
  <c r="S28" i="10"/>
  <c r="R28" i="10"/>
  <c r="S27" i="10"/>
  <c r="R27" i="10"/>
  <c r="S26" i="10"/>
  <c r="R26" i="10"/>
  <c r="N32" i="10"/>
  <c r="M32" i="10"/>
  <c r="N31" i="10"/>
  <c r="M31" i="10"/>
  <c r="N30" i="10"/>
  <c r="M30" i="10"/>
  <c r="N29" i="10"/>
  <c r="M29" i="10"/>
  <c r="N28" i="10"/>
  <c r="M28" i="10"/>
  <c r="N27" i="10"/>
  <c r="M27" i="10"/>
  <c r="N26" i="10"/>
  <c r="M26" i="10"/>
  <c r="I32" i="10"/>
  <c r="H32" i="10"/>
  <c r="I31" i="10"/>
  <c r="H31" i="10"/>
  <c r="I30" i="10"/>
  <c r="H30" i="10"/>
  <c r="I29" i="10"/>
  <c r="H29" i="10"/>
  <c r="I28" i="10"/>
  <c r="H28" i="10"/>
  <c r="I27" i="10"/>
  <c r="H27" i="10"/>
  <c r="I26" i="10"/>
  <c r="H26" i="10"/>
  <c r="B32" i="10"/>
  <c r="B31" i="10"/>
  <c r="B30" i="10"/>
  <c r="B29" i="10"/>
  <c r="B28" i="10"/>
  <c r="B27" i="10"/>
  <c r="B26" i="10"/>
  <c r="X20" i="10"/>
  <c r="S25" i="10"/>
  <c r="S24" i="10"/>
  <c r="S23" i="10"/>
  <c r="S22" i="10"/>
  <c r="S21" i="10"/>
  <c r="S20" i="10"/>
  <c r="N25" i="10"/>
  <c r="N24" i="10"/>
  <c r="N23" i="10"/>
  <c r="N22" i="10"/>
  <c r="N21" i="10"/>
  <c r="N20" i="10"/>
  <c r="I25" i="10"/>
  <c r="I24" i="10"/>
  <c r="I23" i="10"/>
  <c r="I22" i="10"/>
  <c r="I21" i="10"/>
  <c r="I20" i="10"/>
  <c r="W25" i="10"/>
  <c r="X24" i="10"/>
  <c r="W24" i="10"/>
  <c r="X23" i="10"/>
  <c r="W23" i="10"/>
  <c r="X22" i="10"/>
  <c r="W22" i="10"/>
  <c r="X21" i="10"/>
  <c r="W21" i="10"/>
  <c r="W20" i="10"/>
  <c r="R25" i="10"/>
  <c r="R24" i="10"/>
  <c r="R23" i="10"/>
  <c r="R22" i="10"/>
  <c r="R21" i="10"/>
  <c r="R20" i="10"/>
  <c r="M25" i="10"/>
  <c r="M24" i="10"/>
  <c r="M23" i="10"/>
  <c r="M22" i="10"/>
  <c r="M21" i="10"/>
  <c r="M20" i="10"/>
  <c r="H25" i="10"/>
  <c r="H24" i="10"/>
  <c r="H23" i="10"/>
  <c r="H22" i="10"/>
  <c r="H21" i="10"/>
  <c r="H20" i="10"/>
  <c r="C24" i="10"/>
  <c r="C23" i="10"/>
  <c r="C22" i="10"/>
  <c r="C21" i="10"/>
  <c r="B25" i="10"/>
  <c r="B24" i="10"/>
  <c r="B23" i="10"/>
  <c r="B22" i="10"/>
  <c r="B21" i="10"/>
  <c r="B20" i="10"/>
  <c r="D15" i="13" l="1"/>
  <c r="C15" i="13"/>
  <c r="H3" i="10"/>
  <c r="W3" i="10"/>
  <c r="R3" i="10"/>
  <c r="M3" i="10"/>
  <c r="C3" i="10"/>
  <c r="C6" i="4" l="1"/>
  <c r="C5" i="4"/>
</calcChain>
</file>

<file path=xl/sharedStrings.xml><?xml version="1.0" encoding="utf-8"?>
<sst xmlns="http://schemas.openxmlformats.org/spreadsheetml/2006/main" count="444" uniqueCount="327">
  <si>
    <t xml:space="preserve">Last update:  </t>
  </si>
  <si>
    <t>Mark Eastwood</t>
  </si>
  <si>
    <t>FICO Decision Modeler - Cloud Edition</t>
  </si>
  <si>
    <t>Description</t>
  </si>
  <si>
    <t>Pre-Sales / SSE Response</t>
  </si>
  <si>
    <t>Comments</t>
  </si>
  <si>
    <t>Customer Name</t>
  </si>
  <si>
    <t>Name of the customer</t>
  </si>
  <si>
    <t>Salesforce Opportunity ID</t>
  </si>
  <si>
    <t xml:space="preserve">Salesforce opportunity </t>
  </si>
  <si>
    <t>Salesforce Architecture CASE ID</t>
  </si>
  <si>
    <t>CSA Case ID number</t>
  </si>
  <si>
    <t>Enterprise Platform Client</t>
  </si>
  <si>
    <t>Has the client been confirmed as a EPC?</t>
  </si>
  <si>
    <t>Business Problem</t>
  </si>
  <si>
    <t>What is the Business Problem they are trying to solve? What does the client need/want? What are the lines of business, does the client have a particular order in which they want the LOBs, or use cases configured. Do they want a use case that is a subset of a part of the lifecycle, e.g., credit line increases?</t>
  </si>
  <si>
    <t>Select the same Use Case as in Salesforce</t>
  </si>
  <si>
    <t>Customer Background</t>
  </si>
  <si>
    <t>What is the background of the customer?  (Context from prior deals, project, etc.)</t>
  </si>
  <si>
    <t>Response Due Date</t>
  </si>
  <si>
    <t>What's the due date for RFP/RFI or Proposal response to client?</t>
  </si>
  <si>
    <t>Projected Deal Close Date</t>
  </si>
  <si>
    <t xml:space="preserve">What's projected close date? </t>
  </si>
  <si>
    <t>Any other date driven dependencies?</t>
  </si>
  <si>
    <t>Expected Project Start Date</t>
  </si>
  <si>
    <t xml:space="preserve">What's projected  project start date? </t>
  </si>
  <si>
    <t xml:space="preserve">Client Requested Production Go-Live </t>
  </si>
  <si>
    <t xml:space="preserve">What's projected Production - Go Live  date? </t>
  </si>
  <si>
    <t>FICO Response Type</t>
  </si>
  <si>
    <t xml:space="preserve">Is this request an  RFP, RFI or POC? </t>
  </si>
  <si>
    <t>In which country will the FICO product(s) be implemented?
If the product(s) will be deployed in multiple countries, list the country names in sequence of deployment.  If multiple countries are to be deployed in a given 'phase', show the groupings (e.g. phase 1 - UK, Ireland, phase 2 - South Africa, Namibia etc.)</t>
  </si>
  <si>
    <t>FICO Platform Location (AWS Region)</t>
  </si>
  <si>
    <t>Is there a particular AWS region requested?</t>
  </si>
  <si>
    <t>Is this a Partner Deal?</t>
  </si>
  <si>
    <t>Partner deals have unique aspects to them that are not present in Direct Sales deals and this can impact the architecture and how models are deployed.</t>
  </si>
  <si>
    <t xml:space="preserve"> Models of ANY type?</t>
  </si>
  <si>
    <t>Model Delivery</t>
  </si>
  <si>
    <t>If Client is Delivering who will create Characteristics</t>
  </si>
  <si>
    <t>Client infrastructure</t>
  </si>
  <si>
    <t xml:space="preserve">Are there any Client infrastructure or system dependencies (i.e. integration ) and requirements? If yes - Please describe </t>
  </si>
  <si>
    <t>if yes please describe</t>
  </si>
  <si>
    <t>3rd-Party Integration</t>
  </si>
  <si>
    <t>List any known integrations from FICO Platform. Please list them in column D to the right.</t>
  </si>
  <si>
    <t xml:space="preserve">Real-time Processing </t>
  </si>
  <si>
    <t>Describe any Real-time Processing Requirements   Please list them in column D to the right.</t>
  </si>
  <si>
    <t>Batch Processing</t>
  </si>
  <si>
    <t>Describe the Batch Processing Requirements. Is there any Batch Processing Requirement i.e. DMP Batch Integration, ETL processing? If yes, please explain</t>
  </si>
  <si>
    <t>Stream Processing</t>
  </si>
  <si>
    <t>Describe any requirements for Stream Processing (Kafka etc.)</t>
  </si>
  <si>
    <t>SLA reporting</t>
  </si>
  <si>
    <t>Does the client require FICO to deliver or make available SLA reports?</t>
  </si>
  <si>
    <t>SSO Required</t>
  </si>
  <si>
    <t>Is SSO required? Do we know the IDP type?</t>
  </si>
  <si>
    <t>Availability Requirements</t>
  </si>
  <si>
    <t xml:space="preserve">Client's privacy has concerns? </t>
  </si>
  <si>
    <t>Please describe the specific concerns in the Comments column.</t>
  </si>
  <si>
    <t>Regulatory and compliance requirements</t>
  </si>
  <si>
    <t>EU GDPR / CCPA  sent to FICO Platform?</t>
  </si>
  <si>
    <t>Localized Privacy law (Provide details to the right)  sent to FICO Platform?</t>
  </si>
  <si>
    <t>CSA Star  sent to FICO Platform?</t>
  </si>
  <si>
    <t xml:space="preserve">Other ( Please provide more details ) </t>
  </si>
  <si>
    <t>Data categorization</t>
  </si>
  <si>
    <t>Customer basic data (Customer designs, business logic, models) sent to FICO Platform?</t>
  </si>
  <si>
    <t>Customer Financial data (Sales numbers, approval rating etc.) sent to FICO Platform?</t>
  </si>
  <si>
    <t>Connectivity requirements</t>
  </si>
  <si>
    <t>Will the solution require external (non-customer) access to an interface (i.e. subscriber, marketing front-end etc.)? Provide details to the RIGHT.</t>
  </si>
  <si>
    <t>Direct connection [MPLS / Other]</t>
  </si>
  <si>
    <t>Others (Please specify)</t>
  </si>
  <si>
    <t>Attach customer provided diagram below (if any)</t>
  </si>
  <si>
    <t>Analytic Data Mart</t>
  </si>
  <si>
    <t>Y/N</t>
  </si>
  <si>
    <t>Yes</t>
  </si>
  <si>
    <t>No</t>
  </si>
  <si>
    <t>Uncertain</t>
  </si>
  <si>
    <t>Processing Method</t>
  </si>
  <si>
    <t>Batch</t>
  </si>
  <si>
    <t>On-Line (real-time)</t>
  </si>
  <si>
    <t>On-Line (real-time) &amp; Batch</t>
  </si>
  <si>
    <t>Other</t>
  </si>
  <si>
    <t>Streaming</t>
  </si>
  <si>
    <t>Deployment Location</t>
  </si>
  <si>
    <t>FICO AWS</t>
  </si>
  <si>
    <t>Client Tokenized</t>
  </si>
  <si>
    <t>Answer Type</t>
  </si>
  <si>
    <t>Unknown</t>
  </si>
  <si>
    <t>Assumption</t>
  </si>
  <si>
    <t>Confirmed</t>
  </si>
  <si>
    <t>PCI/PII</t>
  </si>
  <si>
    <t>Connectivity</t>
  </si>
  <si>
    <t>VPN (additional costs)</t>
  </si>
  <si>
    <t>MPLS (Private FAC Only)</t>
  </si>
  <si>
    <t>Other (Use Comments)</t>
  </si>
  <si>
    <t>PLATFORM Standard RPO/RTO=30mins/2hrs (Platform native only)</t>
  </si>
  <si>
    <t>CCS Standard (RPO/RTO= 24 hrs / 48 hrs)</t>
  </si>
  <si>
    <t>non-Standard</t>
  </si>
  <si>
    <t>Models</t>
  </si>
  <si>
    <t>Client Models Only</t>
  </si>
  <si>
    <t>FICO Models</t>
  </si>
  <si>
    <t>Third-Party (add notes)</t>
  </si>
  <si>
    <t>AIID Analytic Services (add notes)</t>
  </si>
  <si>
    <t>Model Characteristics</t>
  </si>
  <si>
    <t>Client Only</t>
  </si>
  <si>
    <t>Client + FICO</t>
  </si>
  <si>
    <t>FICO</t>
  </si>
  <si>
    <t>Cloud Data Retention</t>
  </si>
  <si>
    <t>1 Month</t>
  </si>
  <si>
    <t>2 Months</t>
  </si>
  <si>
    <t>3 Months</t>
  </si>
  <si>
    <t>6 Months</t>
  </si>
  <si>
    <t>9 months</t>
  </si>
  <si>
    <t>12 months</t>
  </si>
  <si>
    <t>&gt;12 Months</t>
  </si>
  <si>
    <t>FICO Sales Regions</t>
  </si>
  <si>
    <t>NORAM</t>
  </si>
  <si>
    <t>LAC</t>
  </si>
  <si>
    <t>EMEA</t>
  </si>
  <si>
    <t>APAC</t>
  </si>
  <si>
    <t xml:space="preserve">Submission type </t>
  </si>
  <si>
    <t>Proposal</t>
  </si>
  <si>
    <t>RFP</t>
  </si>
  <si>
    <t>RFI</t>
  </si>
  <si>
    <t>None/Unknown</t>
  </si>
  <si>
    <t xml:space="preserve">Implementation timeline </t>
  </si>
  <si>
    <t>0-3 months</t>
  </si>
  <si>
    <t>4-6 months</t>
  </si>
  <si>
    <t>7-9 months</t>
  </si>
  <si>
    <t>9-12 months</t>
  </si>
  <si>
    <t xml:space="preserve">12+ months </t>
  </si>
  <si>
    <t>FICO Platform AWS Regions</t>
  </si>
  <si>
    <t>us-east-2 (Ohio, USA)</t>
  </si>
  <si>
    <t>us-west-2 (Oregon, USA)</t>
  </si>
  <si>
    <t>ca-central-1 (Canada)</t>
  </si>
  <si>
    <t>eu-central-1 (Frankfurt, Germany)</t>
  </si>
  <si>
    <t>eu-west-1 (Ireland)</t>
  </si>
  <si>
    <t>ap-southeast1 (Singapore)</t>
  </si>
  <si>
    <t>ap-southeast-2 (Sydney, Australia)</t>
  </si>
  <si>
    <t>sa-east-1 (São Paolo, Brazil)</t>
  </si>
  <si>
    <t>ap-south-1 (Mumbai, India)</t>
  </si>
  <si>
    <t>af-south-1 (Capetown, South Africa)</t>
  </si>
  <si>
    <t>TLS 1.2/1.3 over Internet (Default)</t>
  </si>
  <si>
    <t>FICO Platform Availability</t>
  </si>
  <si>
    <t>Lifecycle Stages</t>
  </si>
  <si>
    <t>Default (3)</t>
  </si>
  <si>
    <t>Other (please specify)</t>
  </si>
  <si>
    <t>Professional Services</t>
  </si>
  <si>
    <t>Region</t>
  </si>
  <si>
    <t>Customer Type</t>
  </si>
  <si>
    <t>Bank</t>
  </si>
  <si>
    <t>Processor</t>
  </si>
  <si>
    <t>Existing FICO Customer</t>
  </si>
  <si>
    <t>Existing Falcon</t>
  </si>
  <si>
    <t>Existing DMP</t>
  </si>
  <si>
    <t>New FICO Customer</t>
  </si>
  <si>
    <t>Fraud Use Case</t>
  </si>
  <si>
    <t>Transaction</t>
  </si>
  <si>
    <t>Acquiring</t>
  </si>
  <si>
    <t>Application</t>
  </si>
  <si>
    <t>Fraud Channel</t>
  </si>
  <si>
    <t>Credit Card</t>
  </si>
  <si>
    <t>Debit Card</t>
  </si>
  <si>
    <t>Payments</t>
  </si>
  <si>
    <t>Communications Services</t>
  </si>
  <si>
    <t>FICO CCS</t>
  </si>
  <si>
    <t>Case Manager Type</t>
  </si>
  <si>
    <t>Customer</t>
  </si>
  <si>
    <t>Investigative</t>
  </si>
  <si>
    <t>Custom UI</t>
  </si>
  <si>
    <t>Suport Model</t>
  </si>
  <si>
    <t>FICO Training &amp; Support</t>
  </si>
  <si>
    <t>Extended Support (Post Live)</t>
  </si>
  <si>
    <t>Premium Support</t>
  </si>
  <si>
    <t>Customer Name Here</t>
  </si>
  <si>
    <t>Country</t>
  </si>
  <si>
    <t>In what country is the client located? This will imply a FICO sales region.</t>
  </si>
  <si>
    <t>Canada</t>
  </si>
  <si>
    <t>Opportunity Number</t>
  </si>
  <si>
    <t>The opportunity number from Sales Force</t>
  </si>
  <si>
    <t>Use Case</t>
  </si>
  <si>
    <t>Tokenization</t>
  </si>
  <si>
    <t>FICO Model?</t>
  </si>
  <si>
    <t>Client Model?</t>
  </si>
  <si>
    <t>Customer Communication Services</t>
  </si>
  <si>
    <t>Is this fraud solution using some customer communication mechanism?</t>
  </si>
  <si>
    <t>None</t>
  </si>
  <si>
    <t>Existing FICO Legacy</t>
  </si>
  <si>
    <t>Case Manager</t>
  </si>
  <si>
    <t>Will this solution have a case manager?</t>
  </si>
  <si>
    <t>Both FICO &amp; non-FICO</t>
  </si>
  <si>
    <t>non-FICO Messaging Service</t>
  </si>
  <si>
    <t>Which FICO Case Mananger</t>
  </si>
  <si>
    <t>Fraud Strategy Support</t>
  </si>
  <si>
    <t>What type of support is needed?</t>
  </si>
  <si>
    <t>Multi-Country Rollout Strategy</t>
  </si>
  <si>
    <t>Roll out in phases?</t>
  </si>
  <si>
    <t>9/18/2025  3:21:20 PM</t>
  </si>
  <si>
    <t>Does this solution include models of ANY TYPE in DMP (including client models or AIID Analytic Services)?
Answer this question even if this is a renewal of other components and/or any AIID Analytics Services are required.</t>
  </si>
  <si>
    <t>Who is delivering the models or Analytic Services? If FICO is delivering, then fill out the “Analytics” tab. (indicate whether models will be custom models developed for client”).</t>
  </si>
  <si>
    <t>Are the Availability Requirements different from our Standard (99.9%)?  If yes then what?
Note: This doesn't apply to the design/authoring environments or Tableau nor to any 3rd party call-outs
Note: Anything more than 99.9% requires review and approvals</t>
  </si>
  <si>
    <t>Data Transfers - across legal jurisdiction</t>
  </si>
  <si>
    <t>Are there data transfers across legal jurisdictions (international transfers from either the controller (client)  to processing (FICO), from processing (FICO) to processing (FICO another outside country location), or from processing (FICO) to sub-processing (3rd Party))?</t>
  </si>
  <si>
    <t>Personal Data - re-purposed data?</t>
  </si>
  <si>
    <t>Re-purposing of personal data that's not in the contracts? (Yes/No) --- If yes, provide more details on the purpose outside of contacts</t>
  </si>
  <si>
    <t>PII - Basic - Examples of general personal data include identifiers such as names, aliases, postal addresses, unique personal identifiers, online identifiers, IP addresses, email addresses, account names, social security numbers, driver's license numbers, passport numbers, or similar identifiers.</t>
  </si>
  <si>
    <t>PII - Extended Examples of sensitive personal data include identifiers such as social security numbers, driver's license numbers, state identification card numbers, passport numbers, account logins, financial account numbers, debit or credit card numbers with associated security codes or credentials, precise geolocation data, racial or ethnic origin, citizenship or immigration status, religious or philosophical beliefs, union membership, contents of mail, email, and text messages, genetic data, biometric information for unique identification, and personal information related to an individual's health, sex life, or sexual orientation.</t>
  </si>
  <si>
    <t>PHI - Health (HIPPA) Data sent to FICO Platform?</t>
  </si>
  <si>
    <t>PHI - Anonymized health data (e.g. test results without exposing the person)  sent to FICO Platform?</t>
  </si>
  <si>
    <t>Payment Data (PCI) - Credit Card Data (Full PAN number) sent to FICO Platform?</t>
  </si>
  <si>
    <t>Clarity Version 12</t>
  </si>
  <si>
    <t>this is some text detail from sales</t>
  </si>
  <si>
    <t>ths is some description from sales</t>
  </si>
  <si>
    <t>FICO Platform Next Generation</t>
  </si>
  <si>
    <t>PMML Model</t>
  </si>
  <si>
    <t>Features</t>
  </si>
  <si>
    <t>NS Decisions</t>
  </si>
  <si>
    <t>DM Bridge</t>
  </si>
  <si>
    <t>Python Model</t>
  </si>
  <si>
    <t>Falcon Scoring Server</t>
  </si>
  <si>
    <t>Data Input Size</t>
  </si>
  <si>
    <t>Data Ouput Size</t>
  </si>
  <si>
    <t>Peak Transaction Rate (per second)</t>
  </si>
  <si>
    <t>Reporting - ADM</t>
  </si>
  <si>
    <t>External API Calls</t>
  </si>
  <si>
    <t>Consortium Data Feed</t>
  </si>
  <si>
    <t>Ingress Payload size (in kB)</t>
  </si>
  <si>
    <t>Egress Payload size (in kB)</t>
  </si>
  <si>
    <t>Storage Duration</t>
  </si>
  <si>
    <t>Number of Regions</t>
  </si>
  <si>
    <t>Use Case Map</t>
  </si>
  <si>
    <t>EFS - Basic</t>
  </si>
  <si>
    <t>EFS - Profesional</t>
  </si>
  <si>
    <t>EFS - Ultimate</t>
  </si>
  <si>
    <t>Initial Credit Line</t>
  </si>
  <si>
    <t>X</t>
  </si>
  <si>
    <t>Alert Case Mgr</t>
  </si>
  <si>
    <t>Customer Case Mgr</t>
  </si>
  <si>
    <t>AML-KYC Case Mgr</t>
  </si>
  <si>
    <t>Rules Only</t>
  </si>
  <si>
    <t>UC 11</t>
  </si>
  <si>
    <t>UC 12</t>
  </si>
  <si>
    <t>UC 13</t>
  </si>
  <si>
    <t>UC 14</t>
  </si>
  <si>
    <t>Case Manager Only</t>
  </si>
  <si>
    <t>Falcon Score Only</t>
  </si>
  <si>
    <t>x</t>
  </si>
  <si>
    <t>Credit Line Increase</t>
  </si>
  <si>
    <t>Collection Strategies</t>
  </si>
  <si>
    <t>Originations - Card</t>
  </si>
  <si>
    <t>Transactions per year</t>
  </si>
  <si>
    <t>High Availability</t>
  </si>
  <si>
    <t>Availability</t>
  </si>
  <si>
    <t>Yes - Active / Active</t>
  </si>
  <si>
    <t>Yes - Active / Passive</t>
  </si>
  <si>
    <t>Total Transactions per year</t>
  </si>
  <si>
    <t>Input payload size (kB)</t>
  </si>
  <si>
    <t>Peak TPS requested</t>
  </si>
  <si>
    <t>Output payload size (kB)</t>
  </si>
  <si>
    <t>Max response time (milliseconds)</t>
  </si>
  <si>
    <t># external (outgoing) API calls</t>
  </si>
  <si>
    <t>Simulated or Testing  Transactions per year</t>
  </si>
  <si>
    <t>What % of test/simulation transactions use features?</t>
  </si>
  <si>
    <t>High Availability?</t>
  </si>
  <si>
    <t>Use Case 1</t>
  </si>
  <si>
    <t>Use Case 5</t>
  </si>
  <si>
    <t>Use Case 4</t>
  </si>
  <si>
    <t>Use Case 3</t>
  </si>
  <si>
    <t>Use Case 2</t>
  </si>
  <si>
    <t># hotlists</t>
  </si>
  <si>
    <t># hotlist (elements) entries</t>
  </si>
  <si>
    <t>Feature Management - # of Total Distinct Aggregation Values</t>
  </si>
  <si>
    <t># Client / Third-Party Python Models
(no stateful models allowed)</t>
  </si>
  <si>
    <t>Unique Vlaues</t>
  </si>
  <si>
    <t>Number of Aggregations</t>
  </si>
  <si>
    <t>Number of Expressions</t>
  </si>
  <si>
    <t>Number of KPI</t>
  </si>
  <si>
    <t>Number of Stored Values (like salary or date of last branch visit)</t>
  </si>
  <si>
    <t>Distinct Aggregation Values</t>
  </si>
  <si>
    <t>Features - Largest window size or amount of history</t>
  </si>
  <si>
    <t>Use Case Name here</t>
  </si>
  <si>
    <t>Sales Region</t>
  </si>
  <si>
    <t>In what FICO Sales region does the deal belong?</t>
  </si>
  <si>
    <t>Customer Country</t>
  </si>
  <si>
    <t>FICO Sales Region</t>
  </si>
  <si>
    <t>Which EFS Use Case is requested?</t>
  </si>
  <si>
    <t>Merchant</t>
  </si>
  <si>
    <t>Internal</t>
  </si>
  <si>
    <t>Deposits</t>
  </si>
  <si>
    <t>Appliction Fraud</t>
  </si>
  <si>
    <t>FICO Consortium Model?</t>
  </si>
  <si>
    <t>Originations</t>
  </si>
  <si>
    <t>Transaction Fraud</t>
  </si>
  <si>
    <t>Contexts (Entity)</t>
  </si>
  <si>
    <t>Number of OU</t>
  </si>
  <si>
    <t>Number of top-level organizational units?</t>
  </si>
  <si>
    <t>Number of SU</t>
  </si>
  <si>
    <t>Number of tenants or sub-units?</t>
  </si>
  <si>
    <t>What do we know about the client model(s)?</t>
  </si>
  <si>
    <t>You can make a list by selecting multiple items.</t>
  </si>
  <si>
    <t>Document what we know about the strategy.</t>
  </si>
  <si>
    <t>Data Format Section</t>
  </si>
  <si>
    <t>Banking Transaction or Payent (RBTRAN)</t>
  </si>
  <si>
    <t>Card Transaction (PITRAN)</t>
  </si>
  <si>
    <t>Banking transaction data</t>
  </si>
  <si>
    <t>Credit/debit card transaction data</t>
  </si>
  <si>
    <t>Account Information (AIS)</t>
  </si>
  <si>
    <t>Customer Information (CIS)</t>
  </si>
  <si>
    <t>Customer Fraud Record (FRD)</t>
  </si>
  <si>
    <t>Account Ledger (Ledger)</t>
  </si>
  <si>
    <t>Activity Event (NMON)</t>
  </si>
  <si>
    <t>Account information service data</t>
  </si>
  <si>
    <t>Customer information service data</t>
  </si>
  <si>
    <t>Historical fraud records</t>
  </si>
  <si>
    <t>Account ledger information</t>
  </si>
  <si>
    <t>Network monitoring events / Non-monetary events</t>
  </si>
  <si>
    <t>PaymentInstrument (PIS)</t>
  </si>
  <si>
    <t>ScamRecord (SCAM)</t>
  </si>
  <si>
    <t>Payment instrument data</t>
  </si>
  <si>
    <t>Scam detection records</t>
  </si>
  <si>
    <t>Other External Data</t>
  </si>
  <si>
    <t>TMX, BioCatch, Emailage etc.</t>
  </si>
  <si>
    <t>Merchant profile information</t>
  </si>
  <si>
    <t>Merchant Demographics</t>
  </si>
  <si>
    <t>Application Data</t>
  </si>
  <si>
    <t>Application form data</t>
  </si>
  <si>
    <t>Data Toyes</t>
  </si>
  <si>
    <t>Client Format</t>
  </si>
  <si>
    <t>FICO Format</t>
  </si>
  <si>
    <t>Characteristics Delivery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</si>
</sst>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409]d\-mmm\-yyyy;@"/>
    <numFmt numFmtId="165" formatCode="_(* #,##0_);_(* \(#,##0\);_(* &quot;-&quot;??_);_(@_)"/>
  </numFmts>
  <fonts count="25" x14ac:knownFonts="1">
    <font>
      <sz val="14"/>
      <color theme="1"/>
      <name val="Aptos Narrow"/>
      <family val="2"/>
      <scheme val="minor"/>
    </font>
    <font>
      <sz val="12"/>
      <color theme="1"/>
      <name val="Aptos Narrow"/>
      <family val="2"/>
      <scheme val="minor"/>
    </font>
    <font>
      <sz val="22"/>
      <color rgb="FF000000"/>
      <name val="Calibri"/>
      <family val="2"/>
    </font>
    <font>
      <sz val="12"/>
      <color rgb="FF000000"/>
      <name val="Aptos Narrow"/>
    </font>
    <font>
      <sz val="21"/>
      <color rgb="FF000000"/>
      <name val="Calibri"/>
      <family val="2"/>
    </font>
    <font>
      <sz val="12"/>
      <color rgb="FF000000"/>
      <name val="Calibri"/>
      <family val="2"/>
    </font>
    <font>
      <sz val="11.5"/>
      <color rgb="FF000000"/>
      <name val="Aptos Narrow"/>
    </font>
    <font>
      <sz val="16"/>
      <color theme="1"/>
      <name val="Aptos Narrow"/>
      <family val="2"/>
      <scheme val="minor"/>
    </font>
    <font>
      <sz val="11"/>
      <color theme="1"/>
      <name val="Aptos Narrow"/>
      <family val="2"/>
      <scheme val="minor"/>
    </font>
    <font>
      <sz val="14"/>
      <color theme="1"/>
      <name val="Aptos Narrow"/>
      <family val="2"/>
      <scheme val="minor"/>
    </font>
    <font>
      <b/>
      <sz val="16"/>
      <color theme="1"/>
      <name val="Aptos Narrow"/>
      <family val="2"/>
      <scheme val="minor"/>
    </font>
    <font>
      <sz val="11"/>
      <color rgb="FF9C0006"/>
      <name val="Aptos Narrow"/>
      <family val="2"/>
      <scheme val="minor"/>
    </font>
    <font>
      <sz val="16"/>
      <color indexed="8"/>
      <name val="Aptos Narrow"/>
      <family val="2"/>
      <scheme val="minor"/>
    </font>
    <font>
      <sz val="11"/>
      <color rgb="FF9C6500"/>
      <name val="Aptos Narrow"/>
      <family val="2"/>
      <scheme val="minor"/>
    </font>
    <font>
      <sz val="14"/>
      <color indexed="8"/>
      <name val="Aptos Narrow"/>
      <family val="2"/>
      <scheme val="minor"/>
    </font>
    <font>
      <b/>
      <sz val="18"/>
      <color rgb="FFFF0000"/>
      <name val="Aptos Narrow"/>
      <family val="2"/>
      <scheme val="minor"/>
    </font>
    <font>
      <sz val="18"/>
      <color theme="1"/>
      <name val="Aptos Narrow"/>
      <family val="2"/>
      <scheme val="minor"/>
    </font>
    <font>
      <sz val="16"/>
      <color rgb="FF000000"/>
      <name val="Calibri"/>
      <family val="2"/>
    </font>
    <font>
      <sz val="16"/>
      <color rgb="FF242424"/>
      <name val="Segoe UI"/>
      <family val="2"/>
    </font>
    <font>
      <sz val="26"/>
      <color theme="1"/>
      <name val="Aptos Narrow"/>
      <family val="2"/>
      <scheme val="minor"/>
    </font>
    <font>
      <sz val="22"/>
      <color theme="1"/>
      <name val="Aptos Narrow"/>
      <family val="2"/>
      <scheme val="minor"/>
    </font>
    <font>
      <sz val="14"/>
      <color rgb="FF000000"/>
      <name val="Arial"/>
      <family val="2"/>
    </font>
    <font>
      <i/>
      <sz val="14"/>
      <color theme="1"/>
      <name val="Aptos Narrow"/>
      <scheme val="minor"/>
    </font>
    <font>
      <b/>
      <sz val="14"/>
      <color theme="1"/>
      <name val="Arial"/>
      <family val="2"/>
    </font>
    <font>
      <b/>
      <sz val="14"/>
      <color theme="1"/>
      <name val="Aptos Narrow"/>
      <scheme val="minor"/>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4" tint="0.79998168889431442"/>
        <bgColor indexed="64"/>
      </patternFill>
    </fill>
    <fill>
      <patternFill patternType="solid">
        <fgColor theme="6" tint="0.59996337778862885"/>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rgb="FFA6A6A6"/>
        <bgColor rgb="FF000000"/>
      </patternFill>
    </fill>
    <fill>
      <patternFill patternType="solid">
        <fgColor theme="0" tint="-0.14996795556505021"/>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10">
    <xf numFmtId="0" fontId="0" fillId="0" borderId="1">
      <alignment horizontal="center" vertical="center"/>
    </xf>
    <xf numFmtId="0" fontId="7" fillId="0" borderId="0"/>
    <xf numFmtId="0" fontId="8" fillId="0" borderId="0"/>
    <xf numFmtId="0" fontId="11" fillId="2" borderId="0" applyNumberFormat="0" applyBorder="0" applyAlignment="0" applyProtection="0"/>
    <xf numFmtId="0" fontId="7" fillId="6" borderId="1">
      <alignment horizontal="center" vertical="top" wrapText="1"/>
      <protection locked="0"/>
    </xf>
    <xf numFmtId="0" fontId="12" fillId="4" borderId="1"/>
    <xf numFmtId="0" fontId="13" fillId="3" borderId="0" applyNumberFormat="0" applyBorder="0" applyAlignment="0" applyProtection="0"/>
    <xf numFmtId="0" fontId="9" fillId="0" borderId="1">
      <alignment horizontal="center" vertical="center"/>
    </xf>
    <xf numFmtId="0" fontId="9" fillId="10" borderId="1">
      <alignment vertical="center" wrapText="1"/>
    </xf>
    <xf numFmtId="43" fontId="9" fillId="0" borderId="0" applyFont="0" applyFill="0" applyBorder="0" applyAlignment="0" applyProtection="0"/>
  </cellStyleXfs>
  <cellXfs count="82">
    <xf numFmtId="0" fontId="0" fillId="0" borderId="1" xfId="0">
      <alignment horizontal="center" vertical="center"/>
    </xf>
    <xf numFmtId="0" fontId="7" fillId="5" borderId="0" xfId="1" applyFill="1"/>
    <xf numFmtId="0" fontId="8" fillId="5" borderId="0" xfId="2" applyFill="1"/>
    <xf numFmtId="0" fontId="9" fillId="5" borderId="0" xfId="2" applyFont="1" applyFill="1"/>
    <xf numFmtId="0" fontId="9" fillId="0" borderId="4" xfId="4" applyFont="1" applyFill="1" applyBorder="1">
      <alignment horizontal="center" vertical="top" wrapText="1"/>
      <protection locked="0"/>
    </xf>
    <xf numFmtId="0" fontId="1" fillId="5" borderId="0" xfId="2" applyFont="1" applyFill="1"/>
    <xf numFmtId="0" fontId="14" fillId="0" borderId="1" xfId="5" applyFont="1" applyFill="1" applyAlignment="1" applyProtection="1">
      <alignment horizontal="center"/>
      <protection locked="0"/>
    </xf>
    <xf numFmtId="0" fontId="7" fillId="0" borderId="0" xfId="1"/>
    <xf numFmtId="0" fontId="10" fillId="7" borderId="1" xfId="2" applyFont="1" applyFill="1" applyBorder="1" applyAlignment="1">
      <alignment horizontal="center" vertical="top" wrapText="1"/>
    </xf>
    <xf numFmtId="0" fontId="16" fillId="7" borderId="1" xfId="2" applyFont="1" applyFill="1" applyBorder="1" applyAlignment="1">
      <alignment horizontal="center" vertical="center"/>
    </xf>
    <xf numFmtId="49" fontId="16" fillId="7" borderId="2" xfId="2" applyNumberFormat="1" applyFont="1" applyFill="1" applyBorder="1" applyAlignment="1">
      <alignment horizontal="right" vertical="center"/>
    </xf>
    <xf numFmtId="164" fontId="16" fillId="7" borderId="1" xfId="2" applyNumberFormat="1" applyFont="1" applyFill="1" applyBorder="1" applyAlignment="1">
      <alignment horizontal="right" vertical="center"/>
    </xf>
    <xf numFmtId="0" fontId="7" fillId="8" borderId="0" xfId="2" applyFont="1" applyFill="1"/>
    <xf numFmtId="0" fontId="7" fillId="0" borderId="1" xfId="0" applyFont="1">
      <alignment horizontal="center" vertical="center"/>
    </xf>
    <xf numFmtId="0" fontId="7" fillId="0" borderId="0" xfId="2" applyFont="1"/>
    <xf numFmtId="0" fontId="7" fillId="7" borderId="0" xfId="2" applyFont="1" applyFill="1"/>
    <xf numFmtId="0" fontId="17" fillId="9" borderId="1" xfId="0" applyFont="1" applyFill="1">
      <alignment horizontal="center" vertical="center"/>
    </xf>
    <xf numFmtId="0" fontId="17" fillId="0" borderId="1" xfId="0" applyFont="1">
      <alignment horizontal="center" vertical="center"/>
    </xf>
    <xf numFmtId="0" fontId="7" fillId="0" borderId="0" xfId="2" quotePrefix="1" applyFont="1"/>
    <xf numFmtId="0" fontId="7" fillId="7" borderId="1" xfId="0" applyFont="1" applyFill="1">
      <alignment horizontal="center" vertical="center"/>
    </xf>
    <xf numFmtId="0" fontId="7" fillId="7" borderId="1" xfId="0" applyFont="1" applyFill="1" applyAlignment="1">
      <alignment horizontal="left"/>
    </xf>
    <xf numFmtId="0" fontId="18" fillId="0" borderId="1" xfId="0" applyFont="1" applyAlignment="1">
      <alignment horizontal="left" vertical="center"/>
    </xf>
    <xf numFmtId="0" fontId="9" fillId="10" borderId="1" xfId="8">
      <alignment vertical="center" wrapText="1"/>
    </xf>
    <xf numFmtId="0" fontId="0" fillId="0" borderId="0" xfId="0" applyBorder="1">
      <alignment horizontal="center" vertical="center"/>
    </xf>
    <xf numFmtId="0" fontId="0" fillId="0" borderId="3" xfId="0" applyBorder="1">
      <alignment horizontal="center" vertical="center"/>
    </xf>
    <xf numFmtId="0" fontId="0" fillId="5" borderId="0" xfId="0" applyFill="1" applyBorder="1">
      <alignment horizontal="center" vertical="center"/>
    </xf>
    <xf numFmtId="0" fontId="9" fillId="10" borderId="1" xfId="8" applyAlignment="1">
      <alignment horizontal="center" vertical="center" wrapText="1"/>
    </xf>
    <xf numFmtId="0" fontId="0" fillId="11" borderId="0" xfId="0" applyFill="1" applyBorder="1">
      <alignment horizontal="center" vertical="center"/>
    </xf>
    <xf numFmtId="0" fontId="0" fillId="0" borderId="6" xfId="0" applyBorder="1">
      <alignment horizontal="center" vertical="center"/>
    </xf>
    <xf numFmtId="0" fontId="20" fillId="11" borderId="0" xfId="0" applyFont="1" applyFill="1" applyBorder="1">
      <alignment horizontal="center" vertical="center"/>
    </xf>
    <xf numFmtId="22" fontId="9" fillId="5" borderId="0" xfId="2" applyNumberFormat="1" applyFont="1" applyFill="1"/>
    <xf numFmtId="0" fontId="9" fillId="10" borderId="1" xfId="8" applyAlignment="1">
      <alignment horizontal="left" vertical="center" wrapText="1"/>
    </xf>
    <xf numFmtId="0" fontId="0" fillId="12" borderId="6" xfId="0" applyFill="1" applyBorder="1">
      <alignment horizontal="center" vertical="center"/>
    </xf>
    <xf numFmtId="0" fontId="0" fillId="12" borderId="1" xfId="0" applyFill="1">
      <alignment horizontal="center" vertical="center"/>
    </xf>
    <xf numFmtId="165" fontId="0" fillId="0" borderId="1" xfId="9" applyNumberFormat="1" applyFont="1" applyBorder="1" applyAlignment="1">
      <alignment horizontal="center" vertical="center"/>
    </xf>
    <xf numFmtId="0" fontId="21" fillId="12" borderId="1" xfId="0" applyFont="1" applyFill="1" applyAlignment="1">
      <alignment horizontal="center" vertical="center" wrapText="1"/>
    </xf>
    <xf numFmtId="0" fontId="0" fillId="12" borderId="1" xfId="0" applyFill="1" applyAlignment="1">
      <alignment horizontal="left" vertical="center"/>
    </xf>
    <xf numFmtId="0" fontId="0" fillId="12" borderId="1" xfId="0" applyFill="1" applyAlignment="1">
      <alignment horizontal="left" vertical="center" wrapText="1"/>
    </xf>
    <xf numFmtId="0" fontId="22" fillId="0" borderId="1" xfId="0" applyFont="1" applyAlignment="1">
      <alignment horizontal="center" vertical="center" wrapText="1"/>
    </xf>
    <xf numFmtId="0" fontId="23" fillId="12" borderId="1" xfId="0" applyFont="1" applyFill="1" applyAlignment="1">
      <alignment horizontal="center" vertical="center" wrapText="1"/>
    </xf>
    <xf numFmtId="9" fontId="0" fillId="0" borderId="1" xfId="0" applyNumberFormat="1">
      <alignment horizontal="center" vertical="center"/>
    </xf>
    <xf numFmtId="0" fontId="0" fillId="12" borderId="1" xfId="0" applyFill="1" applyAlignment="1">
      <alignment horizontal="center" vertical="center" wrapText="1"/>
    </xf>
    <xf numFmtId="0" fontId="24" fillId="12" borderId="1" xfId="0" applyFont="1" applyFill="1" applyAlignment="1">
      <alignment horizontal="center" vertical="center" wrapText="1"/>
    </xf>
    <xf numFmtId="0" fontId="24" fillId="10" borderId="1" xfId="8" applyFont="1" applyAlignment="1">
      <alignment horizontal="center" vertical="center" wrapText="1"/>
    </xf>
    <xf numFmtId="0" fontId="24" fillId="13" borderId="1" xfId="8" applyFont="1" applyFill="1" applyAlignment="1">
      <alignment horizontal="center" vertical="center" wrapText="1"/>
    </xf>
    <xf numFmtId="0" fontId="0" fillId="11" borderId="0" xfId="0" applyFill="1" applyBorder="1" applyAlignment="1">
      <alignment horizontal="left" vertical="center"/>
    </xf>
    <xf numFmtId="165" fontId="0" fillId="12" borderId="1" xfId="9" applyNumberFormat="1" applyFont="1" applyFill="1" applyBorder="1" applyAlignment="1">
      <alignment horizontal="center" vertical="center"/>
    </xf>
    <xf numFmtId="0" fontId="9" fillId="10" borderId="1" xfId="8" applyAlignment="1" applyProtection="1">
      <alignment horizontal="left" vertical="center" wrapText="1"/>
      <protection locked="0"/>
    </xf>
    <xf numFmtId="0" fontId="0" fillId="13" borderId="1" xfId="0" applyFill="1" applyProtection="1">
      <alignment horizontal="center" vertical="center"/>
      <protection locked="0"/>
    </xf>
    <xf numFmtId="0" fontId="0" fillId="0" borderId="1" xfId="0" applyProtection="1">
      <alignment horizontal="center" vertical="center"/>
      <protection locked="0"/>
    </xf>
    <xf numFmtId="0" fontId="0" fillId="0" borderId="7" xfId="0" applyBorder="1" applyProtection="1">
      <alignment horizontal="center" vertical="center"/>
      <protection locked="0"/>
    </xf>
    <xf numFmtId="0" fontId="7" fillId="8" borderId="1" xfId="2" applyFont="1" applyFill="1" applyBorder="1"/>
    <xf numFmtId="0" fontId="7" fillId="0" borderId="1" xfId="2" applyFont="1" applyBorder="1"/>
    <xf numFmtId="0" fontId="7" fillId="0" borderId="1" xfId="0" applyFont="1" applyAlignment="1">
      <alignment horizontal="left" vertical="center"/>
    </xf>
    <xf numFmtId="0" fontId="15" fillId="5" borderId="0" xfId="1" applyFont="1" applyFill="1" applyAlignment="1">
      <alignment horizontal="center"/>
    </xf>
    <xf numFmtId="0" fontId="24" fillId="10" borderId="2" xfId="8" applyFont="1" applyBorder="1" applyAlignment="1">
      <alignment horizontal="center" vertical="center" wrapText="1"/>
    </xf>
    <xf numFmtId="0" fontId="24" fillId="10" borderId="8" xfId="8" applyFont="1" applyBorder="1" applyAlignment="1">
      <alignment horizontal="center" vertical="center" wrapText="1"/>
    </xf>
    <xf numFmtId="0" fontId="24" fillId="10" borderId="6" xfId="8" applyFont="1" applyBorder="1" applyAlignment="1">
      <alignment horizontal="center" vertical="center" wrapText="1"/>
    </xf>
    <xf numFmtId="0" fontId="24" fillId="13" borderId="2" xfId="8" applyFont="1" applyFill="1" applyBorder="1" applyAlignment="1">
      <alignment horizontal="center" vertical="center" wrapText="1"/>
    </xf>
    <xf numFmtId="0" fontId="24" fillId="13" borderId="8" xfId="8" applyFont="1" applyFill="1" applyBorder="1" applyAlignment="1">
      <alignment horizontal="center" vertical="center" wrapText="1"/>
    </xf>
    <xf numFmtId="0" fontId="24" fillId="13" borderId="6" xfId="8" applyFont="1" applyFill="1" applyBorder="1" applyAlignment="1">
      <alignment horizontal="center" vertical="center" wrapText="1"/>
    </xf>
    <xf numFmtId="0" fontId="20" fillId="11" borderId="0" xfId="0" applyFont="1" applyFill="1" applyBorder="1">
      <alignment horizontal="center" vertical="center"/>
    </xf>
    <xf numFmtId="0" fontId="0" fillId="5" borderId="0" xfId="0" applyFill="1" applyBorder="1">
      <alignment horizontal="center" vertical="center"/>
    </xf>
    <xf numFmtId="0" fontId="19" fillId="5" borderId="0" xfId="0" applyFont="1" applyFill="1" applyBorder="1" applyAlignment="1" applyProtection="1">
      <alignment horizontal="center"/>
    </xf>
    <xf numFmtId="0" fontId="19" fillId="5" borderId="0" xfId="0" applyFont="1" applyFill="1" applyBorder="1" applyProtection="1">
      <alignment horizontal="center" vertical="center"/>
    </xf>
    <xf numFmtId="0" fontId="0" fillId="0" borderId="0" xfId="0" applyBorder="1" applyProtection="1">
      <alignment horizontal="center" vertical="center"/>
    </xf>
    <xf numFmtId="0" fontId="0" fillId="5" borderId="0" xfId="0" applyFill="1" applyBorder="1" applyProtection="1">
      <alignment horizontal="center" vertical="center"/>
    </xf>
    <xf numFmtId="0" fontId="9" fillId="5" borderId="0" xfId="2" applyFont="1" applyFill="1" applyProtection="1"/>
    <xf numFmtId="0" fontId="7" fillId="5" borderId="0" xfId="1" applyFill="1" applyProtection="1"/>
    <xf numFmtId="0" fontId="10" fillId="7" borderId="1" xfId="2" applyFont="1" applyFill="1" applyBorder="1" applyAlignment="1" applyProtection="1">
      <alignment horizontal="center" vertical="top" wrapText="1"/>
    </xf>
    <xf numFmtId="0" fontId="9" fillId="10" borderId="1" xfId="8" applyProtection="1">
      <alignment vertical="center" wrapText="1"/>
    </xf>
    <xf numFmtId="0" fontId="9" fillId="10" borderId="1" xfId="8" applyAlignment="1" applyProtection="1">
      <alignment horizontal="center" vertical="center" wrapText="1"/>
    </xf>
    <xf numFmtId="0" fontId="1" fillId="5" borderId="0" xfId="2" applyFont="1" applyFill="1" applyProtection="1"/>
    <xf numFmtId="0" fontId="9" fillId="10" borderId="1" xfId="8" quotePrefix="1" applyProtection="1">
      <alignment vertical="center" wrapText="1"/>
    </xf>
    <xf numFmtId="0" fontId="9" fillId="0" borderId="4" xfId="7" applyFill="1" applyBorder="1" applyProtection="1">
      <alignment horizontal="center" vertical="center"/>
      <protection locked="0"/>
    </xf>
    <xf numFmtId="0" fontId="9" fillId="10" borderId="1" xfId="8" applyFont="1">
      <alignment vertical="center" wrapText="1"/>
    </xf>
    <xf numFmtId="0" fontId="9" fillId="0" borderId="5" xfId="7" applyFont="1" applyFill="1" applyBorder="1">
      <alignment horizontal="center" vertical="center"/>
    </xf>
    <xf numFmtId="0" fontId="9" fillId="0" borderId="1" xfId="0" applyFont="1">
      <alignment horizontal="center" vertical="center"/>
    </xf>
    <xf numFmtId="0" fontId="9" fillId="0" borderId="4" xfId="7" applyFont="1" applyFill="1" applyBorder="1">
      <alignment horizontal="center" vertical="center"/>
    </xf>
    <xf numFmtId="0" fontId="9" fillId="10" borderId="1" xfId="8" quotePrefix="1" applyFont="1">
      <alignment vertical="center" wrapText="1"/>
    </xf>
    <xf numFmtId="164" fontId="9" fillId="0" borderId="5" xfId="7" applyNumberFormat="1" applyFont="1" applyFill="1" applyBorder="1">
      <alignment horizontal="center" vertical="center"/>
    </xf>
    <xf numFmtId="0" fontId="9" fillId="10" borderId="1" xfId="8" applyFont="1">
      <alignment vertical="center" wrapText="1"/>
    </xf>
  </cellXfs>
  <cellStyles count="10">
    <cellStyle name="Bad 2" xfId="3" xr:uid="{7258D3BC-1B52-C545-83F6-E7F094C5C341}"/>
    <cellStyle name="Comma" xfId="9" builtinId="3"/>
    <cellStyle name="FreeText" xfId="5" xr:uid="{97DD4161-8078-264E-9B77-965E51AD1BCB}"/>
    <cellStyle name="Input Required" xfId="4" xr:uid="{7E45D345-8329-F24C-B1BA-5BDCE163B96E}"/>
    <cellStyle name="Locked Normal" xfId="8" xr:uid="{726E7AB5-924E-BA4B-9443-0858A99C0B58}"/>
    <cellStyle name="Neutral 2" xfId="6" xr:uid="{9F87F9DB-A763-7F4A-83D9-53B034F0B5D2}"/>
    <cellStyle name="Normal" xfId="0" builtinId="0" customBuiltin="1"/>
    <cellStyle name="Normal 2" xfId="1" xr:uid="{44B4B0D1-7D8E-984A-B1A7-65580BEF6CF5}"/>
    <cellStyle name="Normal 2 2" xfId="2" xr:uid="{D93739BF-3C7E-094B-B301-6462FD5D07FD}"/>
    <cellStyle name="Required Normal" xfId="7" xr:uid="{AC8C8A2A-2193-5048-8942-DA09E85CA290}"/>
  </cellStyles>
  <dxfs count="30">
    <dxf>
      <fill>
        <patternFill>
          <bgColor rgb="FFFFC000"/>
        </patternFill>
      </fill>
    </dxf>
    <dxf>
      <fill>
        <patternFill>
          <bgColor rgb="FFFFFF00"/>
        </patternFill>
      </fill>
    </dxf>
    <dxf>
      <fill>
        <patternFill>
          <bgColor rgb="FFFDFFA9"/>
        </patternFill>
      </fill>
    </dxf>
    <dxf>
      <fill>
        <patternFill>
          <bgColor rgb="FFFFFF00"/>
        </patternFill>
      </fill>
    </dxf>
    <dxf>
      <fill>
        <patternFill>
          <bgColor rgb="FFFFFF00"/>
        </patternFill>
      </fill>
    </dxf>
    <dxf>
      <fill>
        <patternFill>
          <bgColor rgb="FFFFFF00"/>
        </patternFill>
      </fill>
    </dxf>
    <dxf>
      <fill>
        <patternFill>
          <bgColor rgb="FFFFFC00"/>
        </patternFill>
      </fill>
    </dxf>
    <dxf>
      <fill>
        <patternFill>
          <bgColor rgb="FFFFFC00"/>
        </patternFill>
      </fill>
    </dxf>
    <dxf>
      <fill>
        <patternFill>
          <bgColor rgb="FFFFFC00"/>
        </patternFill>
      </fill>
    </dxf>
    <dxf>
      <fill>
        <patternFill patternType="none">
          <bgColor auto="1"/>
        </patternFill>
      </fill>
    </dxf>
    <dxf>
      <fill>
        <patternFill>
          <bgColor rgb="FFFFFC00"/>
        </patternFill>
      </fill>
    </dxf>
    <dxf>
      <fill>
        <patternFill>
          <bgColor rgb="FFFFFF00"/>
        </patternFill>
      </fill>
    </dxf>
    <dxf>
      <font>
        <color rgb="FFFF0000"/>
      </font>
      <fill>
        <patternFill>
          <bgColor rgb="FFFFFF00"/>
        </patternFill>
      </fill>
    </dxf>
    <dxf>
      <fill>
        <patternFill>
          <bgColor rgb="FFFFFF00"/>
        </patternFill>
      </fill>
    </dxf>
    <dxf>
      <font>
        <color rgb="FF9C0006"/>
      </font>
      <fill>
        <patternFill>
          <bgColor rgb="FFFFC7CE"/>
        </patternFill>
      </fill>
    </dxf>
    <dxf>
      <fill>
        <patternFill>
          <bgColor theme="5" tint="0.59996337778862885"/>
        </patternFill>
      </fill>
    </dxf>
    <dxf>
      <fill>
        <patternFill>
          <bgColor rgb="FFF4EFAA"/>
        </patternFill>
      </fill>
    </dxf>
    <dxf>
      <fill>
        <patternFill>
          <bgColor theme="6" tint="0.59996337778862885"/>
        </patternFill>
      </fill>
    </dxf>
    <dxf>
      <fill>
        <patternFill>
          <bgColor rgb="FFFFFF00"/>
        </patternFill>
      </fill>
    </dxf>
    <dxf>
      <fill>
        <patternFill>
          <bgColor rgb="FFF4EFAA"/>
        </patternFill>
      </fill>
    </dxf>
    <dxf>
      <fill>
        <patternFill>
          <bgColor theme="6" tint="0.59996337778862885"/>
        </patternFill>
      </fill>
    </dxf>
    <dxf>
      <fill>
        <patternFill>
          <bgColor theme="5" tint="0.59996337778862885"/>
        </patternFill>
      </fill>
    </dxf>
    <dxf>
      <numFmt numFmtId="166" formatCode="##,##0.0,,,&quot; B&quot;"/>
    </dxf>
    <dxf>
      <numFmt numFmtId="167" formatCode="#,##0.00,,&quot; M&quot;"/>
    </dxf>
    <dxf>
      <numFmt numFmtId="168" formatCode="#,##0.0,&quot; K&quot;"/>
    </dxf>
    <dxf>
      <numFmt numFmtId="166" formatCode="##,##0.0,,,&quot; B&quot;"/>
    </dxf>
    <dxf>
      <numFmt numFmtId="167" formatCode="#,##0.00,,&quot; M&quot;"/>
    </dxf>
    <dxf>
      <numFmt numFmtId="168" formatCode="#,##0.0,&quot; K&quot;"/>
    </dxf>
    <dxf>
      <fill>
        <patternFill>
          <bgColor rgb="FFFEFFBE"/>
        </patternFill>
      </fill>
    </dxf>
    <dxf>
      <fill>
        <patternFill>
          <bgColor rgb="FFFEFFBE"/>
        </patternFill>
      </fill>
    </dxf>
  </dxfs>
  <tableStyles count="0" defaultTableStyle="TableStyleMedium2" defaultPivotStyle="PivotStyleLight16"/>
  <colors>
    <mruColors>
      <color rgb="FFFEFF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1812163</xdr:colOff>
          <xdr:row>0</xdr:row>
          <xdr:rowOff>98778</xdr:rowOff>
        </xdr:from>
        <xdr:to>
          <xdr:col>6</xdr:col>
          <xdr:colOff>4043947</xdr:colOff>
          <xdr:row>1</xdr:row>
          <xdr:rowOff>84666</xdr:rowOff>
        </xdr:to>
        <xdr:sp macro="" textlink="">
          <xdr:nvSpPr>
            <xdr:cNvPr id="1025" name="Button 1" descr="Toggle All Tab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00584" tIns="100584" rIns="100584" bIns="100584" anchor="ctr" upright="1"/>
            <a:lstStyle/>
            <a:p>
              <a:pPr algn="ctr" rtl="0">
                <a:defRPr sz="1000"/>
              </a:pPr>
              <a:r>
                <a:rPr lang="en-US" sz="2200" b="0" i="0" u="none" strike="noStrike" baseline="0">
                  <a:solidFill>
                    <a:srgbClr val="000000"/>
                  </a:solidFill>
                  <a:latin typeface="Calibri" pitchFamily="2" charset="0"/>
                  <a:cs typeface="Calibri" pitchFamily="2" charset="0"/>
                </a:rPr>
                <a:t>Toggle All Tabs</a:t>
              </a:r>
            </a:p>
            <a:p>
              <a:pPr algn="ctr" rtl="0">
                <a:defRPr sz="1000"/>
              </a:pPr>
              <a:r>
                <a:rPr lang="en-US" sz="2200" b="0" i="0" u="none" strike="noStrike" baseline="0">
                  <a:solidFill>
                    <a:srgbClr val="000000"/>
                  </a:solidFill>
                  <a:latin typeface="Calibri" pitchFamily="2" charset="0"/>
                  <a:cs typeface="Calibri" pitchFamily="2" charset="0"/>
                </a:rPr>
                <a:t>Toggle All Tabs</a:t>
              </a:r>
            </a:p>
            <a:p>
              <a:pPr algn="ctr" rtl="0">
                <a:defRPr sz="1000"/>
              </a:pPr>
              <a:r>
                <a:rPr lang="en-US" sz="2200" b="0" i="0" u="none" strike="noStrike" baseline="0">
                  <a:solidFill>
                    <a:srgbClr val="000000"/>
                  </a:solidFill>
                  <a:latin typeface="Calibri" pitchFamily="2" charset="0"/>
                  <a:cs typeface="Calibri" pitchFamily="2" charset="0"/>
                </a:rPr>
                <a:t>Toggle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1727200</xdr:colOff>
          <xdr:row>1</xdr:row>
          <xdr:rowOff>101600</xdr:rowOff>
        </xdr:from>
        <xdr:to>
          <xdr:col>2</xdr:col>
          <xdr:colOff>6604000</xdr:colOff>
          <xdr:row>6</xdr:row>
          <xdr:rowOff>177800</xdr:rowOff>
        </xdr:to>
        <xdr:sp macro="" textlink="">
          <xdr:nvSpPr>
            <xdr:cNvPr id="1026" name="ReviewBox" descr="CSA Use On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Aptos Narrow" charset="0"/>
                </a:rPr>
                <a:t>CSA Use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1003300</xdr:colOff>
          <xdr:row>57</xdr:row>
          <xdr:rowOff>114300</xdr:rowOff>
        </xdr:from>
        <xdr:to>
          <xdr:col>0</xdr:col>
          <xdr:colOff>3187700</xdr:colOff>
          <xdr:row>61</xdr:row>
          <xdr:rowOff>88900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5892800</xdr:colOff>
          <xdr:row>57</xdr:row>
          <xdr:rowOff>203200</xdr:rowOff>
        </xdr:from>
        <xdr:to>
          <xdr:col>3</xdr:col>
          <xdr:colOff>1511300</xdr:colOff>
          <xdr:row>61</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58</xdr:row>
          <xdr:rowOff>165100</xdr:rowOff>
        </xdr:from>
        <xdr:to>
          <xdr:col>1</xdr:col>
          <xdr:colOff>736600</xdr:colOff>
          <xdr:row>60</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1943100</xdr:colOff>
          <xdr:row>58</xdr:row>
          <xdr:rowOff>165100</xdr:rowOff>
        </xdr:from>
        <xdr:to>
          <xdr:col>3</xdr:col>
          <xdr:colOff>3467100</xdr:colOff>
          <xdr:row>60</xdr:row>
          <xdr:rowOff>139700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4217229</xdr:colOff>
          <xdr:row>0</xdr:row>
          <xdr:rowOff>106205</xdr:rowOff>
        </xdr:from>
        <xdr:to>
          <xdr:col>6</xdr:col>
          <xdr:colOff>6294299</xdr:colOff>
          <xdr:row>1</xdr:row>
          <xdr:rowOff>85409</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Super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1808450</xdr:colOff>
          <xdr:row>1</xdr:row>
          <xdr:rowOff>277247</xdr:rowOff>
        </xdr:from>
        <xdr:to>
          <xdr:col>6</xdr:col>
          <xdr:colOff>4040010</xdr:colOff>
          <xdr:row>3</xdr:row>
          <xdr:rowOff>55183</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Toggle Lookups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1815877</xdr:colOff>
          <xdr:row>3</xdr:row>
          <xdr:rowOff>262467</xdr:rowOff>
        </xdr:from>
        <xdr:to>
          <xdr:col>6</xdr:col>
          <xdr:colOff>4025899</xdr:colOff>
          <xdr:row>5</xdr:row>
          <xdr:rowOff>7427</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50" b="0" i="0" u="none" strike="noStrike" baseline="0">
                  <a:solidFill>
                    <a:srgbClr val="000000"/>
                  </a:solidFill>
                  <a:latin typeface="Aptos Narrow" charset="0"/>
                </a:rPr>
                <a:t>Toggle Protect Structure</a:t>
              </a:r>
            </a:p>
            <a:p>
              <a:pPr algn="ctr" rtl="0">
                <a:defRPr sz="1000"/>
              </a:pPr>
              <a:endParaRPr lang="en-US" sz="1150" b="0" i="0" u="none" strike="noStrike" baseline="0">
                <a:solidFill>
                  <a:srgbClr val="000000"/>
                </a:solidFill>
                <a:latin typeface="Aptos Narrow" charset="0"/>
              </a:endParaRPr>
            </a:p>
          </xdr:txBody>
        </xdr:sp>
        <xdr:clientData fPrintsWithSheet="0"/>
      </xdr:twoCellAnchor>
    </mc:Choice>
    <mc:Fallback/>
  </mc:AlternateContent>
  <xdr:twoCellAnchor>
    <xdr:from>
      <xdr:col>2</xdr:col>
      <xdr:colOff>5222345</xdr:colOff>
      <xdr:row>1</xdr:row>
      <xdr:rowOff>161925</xdr:rowOff>
    </xdr:from>
    <xdr:to>
      <xdr:col>2</xdr:col>
      <xdr:colOff>6571720</xdr:colOff>
      <xdr:row>3</xdr:row>
      <xdr:rowOff>200026</xdr:rowOff>
    </xdr:to>
    <xdr:sp macro="[0]!Sheet3.AddReferenceArchitecture" textlink="">
      <xdr:nvSpPr>
        <xdr:cNvPr id="2" name="ShowReference">
          <a:extLst>
            <a:ext uri="{FF2B5EF4-FFF2-40B4-BE49-F238E27FC236}">
              <a16:creationId xmlns:a16="http://schemas.microsoft.com/office/drawing/2014/main" id="{4F06D80F-193A-5D43-9CFE-B632C96BB08A}"/>
            </a:ext>
          </a:extLst>
        </xdr:cNvPr>
        <xdr:cNvSpPr/>
      </xdr:nvSpPr>
      <xdr:spPr>
        <a:xfrm>
          <a:off x="16525345" y="746125"/>
          <a:ext cx="1349375" cy="5969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rgbClr val="000000"/>
              </a:solidFill>
            </a:rPr>
            <a:t>Add Reference Architecture</a:t>
          </a:r>
          <a:endParaRPr lang="en-US" sz="1100">
            <a:solidFill>
              <a:srgbClr val="000000"/>
            </a:solidFill>
          </a:endParaRPr>
        </a:p>
      </xdr:txBody>
    </xdr:sp>
    <xdr:clientData/>
  </xdr:twoCellAnchor>
  <xdr:twoCellAnchor>
    <xdr:from>
      <xdr:col>2</xdr:col>
      <xdr:colOff>1825095</xdr:colOff>
      <xdr:row>1</xdr:row>
      <xdr:rowOff>276225</xdr:rowOff>
    </xdr:from>
    <xdr:to>
      <xdr:col>2</xdr:col>
      <xdr:colOff>3581400</xdr:colOff>
      <xdr:row>4</xdr:row>
      <xdr:rowOff>51330</xdr:rowOff>
    </xdr:to>
    <xdr:sp macro="[0]!Sheet3.ShowReviewTabs" textlink="">
      <xdr:nvSpPr>
        <xdr:cNvPr id="3" name="ReviewRequired">
          <a:extLst>
            <a:ext uri="{FF2B5EF4-FFF2-40B4-BE49-F238E27FC236}">
              <a16:creationId xmlns:a16="http://schemas.microsoft.com/office/drawing/2014/main" id="{9A9EDD80-4D2D-FD4A-88B8-36C7AACBD97D}"/>
            </a:ext>
          </a:extLst>
        </xdr:cNvPr>
        <xdr:cNvSpPr/>
      </xdr:nvSpPr>
      <xdr:spPr>
        <a:xfrm>
          <a:off x="13128095" y="860425"/>
          <a:ext cx="1756305" cy="613305"/>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Review Needed</a:t>
          </a:r>
          <a:br>
            <a:rPr lang="en-US" sz="1200">
              <a:solidFill>
                <a:srgbClr val="000000"/>
              </a:solidFill>
            </a:rPr>
          </a:br>
          <a:r>
            <a:rPr lang="en-US" sz="1200">
              <a:solidFill>
                <a:srgbClr val="000000"/>
              </a:solidFill>
            </a:rPr>
            <a:t>(Soln Arch Only)</a:t>
          </a:r>
          <a:endParaRPr lang="en-US" sz="1100">
            <a:solidFill>
              <a:srgbClr val="000000"/>
            </a:solidFill>
          </a:endParaRPr>
        </a:p>
      </xdr:txBody>
    </xdr:sp>
    <xdr:clientData/>
  </xdr:twoCellAnchor>
  <xdr:twoCellAnchor>
    <xdr:from>
      <xdr:col>2</xdr:col>
      <xdr:colOff>1825095</xdr:colOff>
      <xdr:row>4</xdr:row>
      <xdr:rowOff>86254</xdr:rowOff>
    </xdr:from>
    <xdr:to>
      <xdr:col>2</xdr:col>
      <xdr:colOff>3581400</xdr:colOff>
      <xdr:row>6</xdr:row>
      <xdr:rowOff>125943</xdr:rowOff>
    </xdr:to>
    <xdr:sp macro="[0]!Sheet3.ShowExecutiveTab" textlink="">
      <xdr:nvSpPr>
        <xdr:cNvPr id="4" name="ExecutiveReview">
          <a:extLst>
            <a:ext uri="{FF2B5EF4-FFF2-40B4-BE49-F238E27FC236}">
              <a16:creationId xmlns:a16="http://schemas.microsoft.com/office/drawing/2014/main" id="{4CA9EE91-DA2D-D745-BAF2-A8A9968B23EA}"/>
            </a:ext>
          </a:extLst>
        </xdr:cNvPr>
        <xdr:cNvSpPr/>
      </xdr:nvSpPr>
      <xdr:spPr>
        <a:xfrm>
          <a:off x="13128095" y="1508654"/>
          <a:ext cx="1756305" cy="598489"/>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Executive Review</a:t>
          </a:r>
          <a:br>
            <a:rPr lang="en-US" sz="1100">
              <a:solidFill>
                <a:srgbClr val="000000"/>
              </a:solidFill>
            </a:rPr>
          </a:br>
          <a:r>
            <a:rPr lang="en-US" sz="1100">
              <a:solidFill>
                <a:srgbClr val="000000"/>
              </a:solidFill>
            </a:rPr>
            <a:t>(Soln Arch Only)</a:t>
          </a:r>
        </a:p>
      </xdr:txBody>
    </xdr:sp>
    <xdr:clientData/>
  </xdr:twoCellAnchor>
  <xdr:twoCellAnchor>
    <xdr:from>
      <xdr:col>0</xdr:col>
      <xdr:colOff>88900</xdr:colOff>
      <xdr:row>1</xdr:row>
      <xdr:rowOff>132819</xdr:rowOff>
    </xdr:from>
    <xdr:to>
      <xdr:col>0</xdr:col>
      <xdr:colOff>1438275</xdr:colOff>
      <xdr:row>3</xdr:row>
      <xdr:rowOff>145520</xdr:rowOff>
    </xdr:to>
    <xdr:sp macro="[0]!Sheet3.ResetButton" textlink="">
      <xdr:nvSpPr>
        <xdr:cNvPr id="5" name="Reset">
          <a:extLst>
            <a:ext uri="{FF2B5EF4-FFF2-40B4-BE49-F238E27FC236}">
              <a16:creationId xmlns:a16="http://schemas.microsoft.com/office/drawing/2014/main" id="{48685776-95EB-B347-A2F0-8F6923B6DAC3}"/>
            </a:ext>
          </a:extLst>
        </xdr:cNvPr>
        <xdr:cNvSpPr/>
      </xdr:nvSpPr>
      <xdr:spPr>
        <a:xfrm>
          <a:off x="88900" y="717019"/>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twoCellAnchor>
    <xdr:from>
      <xdr:col>0</xdr:col>
      <xdr:colOff>79611</xdr:colOff>
      <xdr:row>3</xdr:row>
      <xdr:rowOff>247119</xdr:rowOff>
    </xdr:from>
    <xdr:to>
      <xdr:col>0</xdr:col>
      <xdr:colOff>1428986</xdr:colOff>
      <xdr:row>5</xdr:row>
      <xdr:rowOff>254000</xdr:rowOff>
    </xdr:to>
    <xdr:sp macro="[0]!Sheet3.ShowProfessionalServices" textlink="">
      <xdr:nvSpPr>
        <xdr:cNvPr id="6" name="ProfessionalServices">
          <a:extLst>
            <a:ext uri="{FF2B5EF4-FFF2-40B4-BE49-F238E27FC236}">
              <a16:creationId xmlns:a16="http://schemas.microsoft.com/office/drawing/2014/main" id="{1D2A76B0-8157-AC4E-AA86-620950DCF61C}"/>
            </a:ext>
          </a:extLst>
        </xdr:cNvPr>
        <xdr:cNvSpPr/>
      </xdr:nvSpPr>
      <xdr:spPr>
        <a:xfrm>
          <a:off x="79611" y="1390119"/>
          <a:ext cx="1349375" cy="565681"/>
        </a:xfrm>
        <a:prstGeom prst="roundRect">
          <a:avLst/>
        </a:prstGeom>
        <a:solidFill>
          <a:srgbClr val="339966"/>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rgbClr val="FFFFFF"/>
              </a:solidFill>
            </a:rPr>
            <a:t>Has Professional Services</a:t>
          </a:r>
          <a:endParaRPr lang="en-US" sz="1100">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6</xdr:col>
          <xdr:colOff>4219588</xdr:colOff>
          <xdr:row>2</xdr:row>
          <xdr:rowOff>2079</xdr:rowOff>
        </xdr:from>
        <xdr:to>
          <xdr:col>6</xdr:col>
          <xdr:colOff>6298011</xdr:colOff>
          <xdr:row>3</xdr:row>
          <xdr:rowOff>29708</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4212905</xdr:colOff>
          <xdr:row>3</xdr:row>
          <xdr:rowOff>241376</xdr:rowOff>
        </xdr:from>
        <xdr:to>
          <xdr:col>6</xdr:col>
          <xdr:colOff>6290584</xdr:colOff>
          <xdr:row>5</xdr:row>
          <xdr:rowOff>7428</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Protect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63500</xdr:rowOff>
    </xdr:from>
    <xdr:to>
      <xdr:col>0</xdr:col>
      <xdr:colOff>1438275</xdr:colOff>
      <xdr:row>1</xdr:row>
      <xdr:rowOff>203201</xdr:rowOff>
    </xdr:to>
    <xdr:sp macro="[0]!Sheet2.ResetButton" textlink="">
      <xdr:nvSpPr>
        <xdr:cNvPr id="2" name="ResetButton">
          <a:extLst>
            <a:ext uri="{FF2B5EF4-FFF2-40B4-BE49-F238E27FC236}">
              <a16:creationId xmlns:a16="http://schemas.microsoft.com/office/drawing/2014/main" id="{AA4220A2-7261-EE4F-A67D-9EA059F1EF4C}"/>
            </a:ext>
          </a:extLst>
        </xdr:cNvPr>
        <xdr:cNvSpPr/>
      </xdr:nvSpPr>
      <xdr:spPr>
        <a:xfrm>
          <a:off x="88900" y="63500"/>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1753-E4BF-6F4E-93BB-18827D372532}">
  <sheetPr codeName="Sheet3">
    <tabColor rgb="FF00B050"/>
  </sheetPr>
  <dimension ref="A1:Q118"/>
  <sheetViews>
    <sheetView showGridLines="0" tabSelected="1" zoomScale="90" zoomScaleNormal="90" workbookViewId="0">
      <selection activeCell="C26" sqref="C26"/>
    </sheetView>
  </sheetViews>
  <sheetFormatPr baseColWidth="10" defaultColWidth="78.5703125" defaultRowHeight="22" x14ac:dyDescent="0.3"/>
  <cols>
    <col min="1" max="1" width="67.42578125" style="7" customWidth="1"/>
    <col min="2" max="2" width="80.7109375" style="7" customWidth="1"/>
    <col min="3" max="4" width="87.42578125" style="7" customWidth="1"/>
    <col min="5" max="17" width="78.5703125" style="1"/>
    <col min="18" max="16384" width="78.5703125" style="7"/>
  </cols>
  <sheetData>
    <row r="1" spans="1:5" ht="24" x14ac:dyDescent="0.3">
      <c r="A1" s="9" t="s">
        <v>0</v>
      </c>
      <c r="B1" s="10" t="s">
        <v>194</v>
      </c>
      <c r="C1" s="11" t="s">
        <v>1</v>
      </c>
      <c r="D1" s="11" t="s">
        <v>207</v>
      </c>
      <c r="E1" s="3"/>
    </row>
    <row r="2" spans="1:5" x14ac:dyDescent="0.3">
      <c r="A2" s="3"/>
      <c r="B2" s="30">
        <v>45947.691840277781</v>
      </c>
      <c r="C2" s="3" t="s">
        <v>1</v>
      </c>
      <c r="D2" s="3"/>
      <c r="E2" s="3"/>
    </row>
    <row r="3" spans="1:5" x14ac:dyDescent="0.3">
      <c r="A3" s="3"/>
      <c r="B3" s="3"/>
      <c r="C3" s="3"/>
      <c r="D3" s="3"/>
      <c r="E3" s="3"/>
    </row>
    <row r="4" spans="1:5" x14ac:dyDescent="0.3">
      <c r="A4" s="3"/>
      <c r="B4" s="3"/>
      <c r="C4" s="3"/>
      <c r="D4" s="3"/>
      <c r="E4" s="3"/>
    </row>
    <row r="5" spans="1:5" x14ac:dyDescent="0.3">
      <c r="A5" s="3"/>
      <c r="B5" s="3"/>
      <c r="C5" s="3"/>
      <c r="D5" s="3"/>
      <c r="E5" s="3"/>
    </row>
    <row r="6" spans="1:5" x14ac:dyDescent="0.3">
      <c r="A6" s="3"/>
      <c r="B6" s="3"/>
      <c r="C6" s="3"/>
      <c r="D6" s="3"/>
      <c r="E6" s="3"/>
    </row>
    <row r="7" spans="1:5" x14ac:dyDescent="0.3">
      <c r="A7" s="3"/>
      <c r="B7" s="3"/>
      <c r="C7" s="3"/>
      <c r="D7" s="3"/>
    </row>
    <row r="8" spans="1:5" x14ac:dyDescent="0.3">
      <c r="A8" s="3"/>
      <c r="B8" s="3"/>
      <c r="C8" s="3"/>
      <c r="D8" s="3"/>
      <c r="E8" s="3"/>
    </row>
    <row r="9" spans="1:5" ht="23" x14ac:dyDescent="0.3">
      <c r="A9" s="8"/>
      <c r="B9" s="8" t="s">
        <v>3</v>
      </c>
      <c r="C9" s="8" t="s">
        <v>4</v>
      </c>
      <c r="D9" s="8" t="s">
        <v>5</v>
      </c>
    </row>
    <row r="10" spans="1:5" x14ac:dyDescent="0.3">
      <c r="A10" s="75" t="s">
        <v>6</v>
      </c>
      <c r="B10" s="75" t="s">
        <v>7</v>
      </c>
      <c r="C10" s="76" t="s">
        <v>171</v>
      </c>
      <c r="D10" s="77"/>
      <c r="E10" s="3"/>
    </row>
    <row r="11" spans="1:5" x14ac:dyDescent="0.3">
      <c r="A11" s="75" t="s">
        <v>8</v>
      </c>
      <c r="B11" s="75" t="s">
        <v>9</v>
      </c>
      <c r="C11" s="76">
        <v>12345</v>
      </c>
      <c r="D11" s="77"/>
      <c r="E11" s="3"/>
    </row>
    <row r="12" spans="1:5" x14ac:dyDescent="0.3">
      <c r="A12" s="75" t="s">
        <v>10</v>
      </c>
      <c r="B12" s="75" t="s">
        <v>11</v>
      </c>
      <c r="C12" s="76">
        <v>54321</v>
      </c>
      <c r="D12" s="77"/>
      <c r="E12" s="3"/>
    </row>
    <row r="13" spans="1:5" x14ac:dyDescent="0.3">
      <c r="A13" s="75" t="s">
        <v>12</v>
      </c>
      <c r="B13" s="75" t="s">
        <v>13</v>
      </c>
      <c r="C13" s="76" t="s">
        <v>71</v>
      </c>
      <c r="D13" s="77"/>
      <c r="E13" s="3"/>
    </row>
    <row r="14" spans="1:5" ht="80" x14ac:dyDescent="0.3">
      <c r="A14" s="75" t="s">
        <v>14</v>
      </c>
      <c r="B14" s="75" t="s">
        <v>15</v>
      </c>
      <c r="C14" s="76" t="s">
        <v>208</v>
      </c>
      <c r="D14" s="77"/>
      <c r="E14" s="3"/>
    </row>
    <row r="15" spans="1:5" x14ac:dyDescent="0.3">
      <c r="A15" s="75" t="s">
        <v>177</v>
      </c>
      <c r="B15" s="75" t="s">
        <v>16</v>
      </c>
      <c r="C15" s="76" t="s">
        <v>228</v>
      </c>
      <c r="D15" s="77"/>
      <c r="E15" s="3"/>
    </row>
    <row r="16" spans="1:5" ht="23" thickBot="1" x14ac:dyDescent="0.35">
      <c r="A16" s="75" t="s">
        <v>17</v>
      </c>
      <c r="B16" s="75" t="s">
        <v>18</v>
      </c>
      <c r="C16" s="76" t="s">
        <v>209</v>
      </c>
      <c r="D16" s="77"/>
      <c r="E16" s="5"/>
    </row>
    <row r="17" spans="1:5" ht="41" thickBot="1" x14ac:dyDescent="0.35">
      <c r="A17" s="75" t="s">
        <v>33</v>
      </c>
      <c r="B17" s="75" t="s">
        <v>34</v>
      </c>
      <c r="C17" s="78"/>
      <c r="D17" s="77"/>
      <c r="E17" s="5"/>
    </row>
    <row r="18" spans="1:5" x14ac:dyDescent="0.3">
      <c r="A18" s="75" t="s">
        <v>19</v>
      </c>
      <c r="B18" s="79" t="s">
        <v>20</v>
      </c>
      <c r="C18" s="80">
        <v>45919</v>
      </c>
      <c r="D18" s="77"/>
      <c r="E18" s="3"/>
    </row>
    <row r="19" spans="1:5" x14ac:dyDescent="0.3">
      <c r="A19" s="75" t="s">
        <v>21</v>
      </c>
      <c r="B19" s="75" t="s">
        <v>22</v>
      </c>
      <c r="C19" s="80">
        <v>45950</v>
      </c>
      <c r="D19" s="77" t="s">
        <v>23</v>
      </c>
      <c r="E19" s="3"/>
    </row>
    <row r="20" spans="1:5" x14ac:dyDescent="0.3">
      <c r="A20" s="75" t="s">
        <v>24</v>
      </c>
      <c r="B20" s="75" t="s">
        <v>25</v>
      </c>
      <c r="C20" s="80">
        <v>45982</v>
      </c>
      <c r="D20" s="77" t="s">
        <v>23</v>
      </c>
      <c r="E20" s="3"/>
    </row>
    <row r="21" spans="1:5" x14ac:dyDescent="0.3">
      <c r="A21" s="75" t="s">
        <v>26</v>
      </c>
      <c r="B21" s="75" t="s">
        <v>27</v>
      </c>
      <c r="C21" s="80">
        <v>46013</v>
      </c>
      <c r="D21" s="77" t="s">
        <v>23</v>
      </c>
      <c r="E21" s="3"/>
    </row>
    <row r="22" spans="1:5" x14ac:dyDescent="0.3">
      <c r="A22" s="75" t="s">
        <v>28</v>
      </c>
      <c r="B22" s="75" t="s">
        <v>29</v>
      </c>
      <c r="C22" s="77" t="s">
        <v>118</v>
      </c>
      <c r="D22" s="77"/>
      <c r="E22" s="3"/>
    </row>
    <row r="23" spans="1:5" ht="80" x14ac:dyDescent="0.3">
      <c r="A23" s="75" t="s">
        <v>280</v>
      </c>
      <c r="B23" s="75" t="s">
        <v>30</v>
      </c>
      <c r="C23" s="76" t="s">
        <v>174</v>
      </c>
      <c r="D23" s="77"/>
      <c r="E23" s="3"/>
    </row>
    <row r="24" spans="1:5" ht="23" thickBot="1" x14ac:dyDescent="0.35">
      <c r="A24" s="75" t="s">
        <v>278</v>
      </c>
      <c r="B24" s="75" t="s">
        <v>279</v>
      </c>
      <c r="C24" s="76" t="s">
        <v>113</v>
      </c>
      <c r="D24" s="77"/>
      <c r="E24" s="3"/>
    </row>
    <row r="25" spans="1:5" ht="23" thickBot="1" x14ac:dyDescent="0.35">
      <c r="A25" s="75" t="s">
        <v>31</v>
      </c>
      <c r="B25" s="75" t="s">
        <v>32</v>
      </c>
      <c r="C25" s="78"/>
      <c r="D25" s="77"/>
      <c r="E25" s="3"/>
    </row>
    <row r="26" spans="1:5" ht="81" thickBot="1" x14ac:dyDescent="0.35">
      <c r="A26" s="75" t="s">
        <v>35</v>
      </c>
      <c r="B26" s="75" t="s">
        <v>195</v>
      </c>
      <c r="C26" s="78"/>
      <c r="D26" s="77"/>
      <c r="E26" s="3"/>
    </row>
    <row r="27" spans="1:5" ht="41" hidden="1" thickBot="1" x14ac:dyDescent="0.35">
      <c r="A27" s="75" t="s">
        <v>36</v>
      </c>
      <c r="B27" s="75" t="s">
        <v>196</v>
      </c>
      <c r="C27" s="4"/>
      <c r="D27" s="77"/>
      <c r="E27" s="3"/>
    </row>
    <row r="28" spans="1:5" ht="23" hidden="1" thickBot="1" x14ac:dyDescent="0.35">
      <c r="A28" s="75" t="s">
        <v>326</v>
      </c>
      <c r="B28" s="75" t="s">
        <v>37</v>
      </c>
      <c r="C28" s="4"/>
      <c r="D28" s="77"/>
      <c r="E28" s="3"/>
    </row>
    <row r="29" spans="1:5" ht="40" x14ac:dyDescent="0.3">
      <c r="A29" s="75" t="s">
        <v>38</v>
      </c>
      <c r="B29" s="75" t="s">
        <v>39</v>
      </c>
      <c r="C29" s="6"/>
      <c r="D29" s="77" t="s">
        <v>40</v>
      </c>
      <c r="E29" s="3"/>
    </row>
    <row r="30" spans="1:5" ht="23" thickBot="1" x14ac:dyDescent="0.35">
      <c r="A30" s="75" t="s">
        <v>41</v>
      </c>
      <c r="B30" s="75" t="s">
        <v>42</v>
      </c>
      <c r="C30" s="77"/>
      <c r="D30" s="77"/>
      <c r="E30" s="2"/>
    </row>
    <row r="31" spans="1:5" ht="23" thickBot="1" x14ac:dyDescent="0.35">
      <c r="A31" s="75" t="s">
        <v>43</v>
      </c>
      <c r="B31" s="75" t="s">
        <v>44</v>
      </c>
      <c r="C31" s="78"/>
      <c r="D31" s="77"/>
      <c r="E31" s="3"/>
    </row>
    <row r="32" spans="1:5" ht="41" thickBot="1" x14ac:dyDescent="0.35">
      <c r="A32" s="75" t="s">
        <v>45</v>
      </c>
      <c r="B32" s="75" t="s">
        <v>46</v>
      </c>
      <c r="C32" s="78"/>
      <c r="D32" s="77"/>
      <c r="E32" s="3"/>
    </row>
    <row r="33" spans="1:5" ht="23" thickBot="1" x14ac:dyDescent="0.35">
      <c r="A33" s="75" t="s">
        <v>47</v>
      </c>
      <c r="B33" s="75" t="s">
        <v>48</v>
      </c>
      <c r="C33" s="78"/>
      <c r="D33" s="77"/>
      <c r="E33" s="3"/>
    </row>
    <row r="34" spans="1:5" ht="23" thickBot="1" x14ac:dyDescent="0.35">
      <c r="A34" s="75" t="s">
        <v>291</v>
      </c>
      <c r="B34" s="75" t="s">
        <v>292</v>
      </c>
      <c r="C34" s="78"/>
      <c r="D34" s="77"/>
      <c r="E34" s="3"/>
    </row>
    <row r="35" spans="1:5" ht="23" thickBot="1" x14ac:dyDescent="0.35">
      <c r="A35" s="75" t="s">
        <v>293</v>
      </c>
      <c r="B35" s="75" t="s">
        <v>294</v>
      </c>
      <c r="C35" s="78"/>
      <c r="D35" s="77"/>
      <c r="E35" s="3"/>
    </row>
    <row r="36" spans="1:5" ht="23" thickBot="1" x14ac:dyDescent="0.35">
      <c r="A36" s="75" t="s">
        <v>49</v>
      </c>
      <c r="B36" s="75" t="s">
        <v>50</v>
      </c>
      <c r="C36" s="77"/>
      <c r="D36" s="77"/>
      <c r="E36" s="3"/>
    </row>
    <row r="37" spans="1:5" ht="23" thickBot="1" x14ac:dyDescent="0.35">
      <c r="A37" s="75" t="s">
        <v>51</v>
      </c>
      <c r="B37" s="75" t="s">
        <v>52</v>
      </c>
      <c r="C37" s="78"/>
      <c r="D37" s="77"/>
      <c r="E37" s="2"/>
    </row>
    <row r="38" spans="1:5" ht="81" thickBot="1" x14ac:dyDescent="0.35">
      <c r="A38" s="75" t="s">
        <v>53</v>
      </c>
      <c r="B38" s="75" t="s">
        <v>197</v>
      </c>
      <c r="C38" s="78"/>
      <c r="D38" s="77"/>
      <c r="E38" s="2"/>
    </row>
    <row r="39" spans="1:5" ht="61" thickBot="1" x14ac:dyDescent="0.35">
      <c r="A39" s="75" t="s">
        <v>198</v>
      </c>
      <c r="B39" s="75" t="s">
        <v>199</v>
      </c>
      <c r="C39" s="78"/>
      <c r="D39" s="77"/>
      <c r="E39" s="3"/>
    </row>
    <row r="40" spans="1:5" ht="23" thickBot="1" x14ac:dyDescent="0.35">
      <c r="A40" s="75" t="s">
        <v>54</v>
      </c>
      <c r="B40" s="75" t="s">
        <v>55</v>
      </c>
      <c r="C40" s="78"/>
      <c r="D40" s="77"/>
      <c r="E40" s="3"/>
    </row>
    <row r="41" spans="1:5" ht="41" thickBot="1" x14ac:dyDescent="0.35">
      <c r="A41" s="75" t="s">
        <v>200</v>
      </c>
      <c r="B41" s="75" t="s">
        <v>201</v>
      </c>
      <c r="C41" s="78"/>
      <c r="D41" s="77"/>
      <c r="E41" s="3"/>
    </row>
    <row r="42" spans="1:5" ht="23" thickBot="1" x14ac:dyDescent="0.35">
      <c r="A42" s="75" t="s">
        <v>56</v>
      </c>
      <c r="B42" s="75" t="s">
        <v>57</v>
      </c>
      <c r="C42" s="78"/>
      <c r="D42" s="77"/>
      <c r="E42" s="3"/>
    </row>
    <row r="43" spans="1:5" ht="23" thickBot="1" x14ac:dyDescent="0.35">
      <c r="A43" s="75" t="s">
        <v>69</v>
      </c>
      <c r="B43" s="75" t="s">
        <v>58</v>
      </c>
      <c r="C43" s="78"/>
      <c r="D43" s="77"/>
      <c r="E43" s="3"/>
    </row>
    <row r="44" spans="1:5" ht="23" thickBot="1" x14ac:dyDescent="0.35">
      <c r="A44" s="75" t="s">
        <v>2</v>
      </c>
      <c r="B44" s="75" t="s">
        <v>59</v>
      </c>
      <c r="C44" s="78"/>
      <c r="D44" s="77"/>
      <c r="E44" s="3"/>
    </row>
    <row r="45" spans="1:5" ht="23" thickBot="1" x14ac:dyDescent="0.35">
      <c r="A45" s="75"/>
      <c r="B45" s="75" t="s">
        <v>60</v>
      </c>
      <c r="C45" s="78"/>
      <c r="D45" s="77"/>
      <c r="E45" s="3"/>
    </row>
    <row r="46" spans="1:5" ht="81" thickBot="1" x14ac:dyDescent="0.35">
      <c r="A46" s="81" t="s">
        <v>61</v>
      </c>
      <c r="B46" s="75" t="s">
        <v>202</v>
      </c>
      <c r="C46" s="78"/>
      <c r="D46" s="77"/>
      <c r="E46" s="3"/>
    </row>
    <row r="47" spans="1:5" ht="141" thickBot="1" x14ac:dyDescent="0.35">
      <c r="A47" s="81"/>
      <c r="B47" s="75" t="s">
        <v>203</v>
      </c>
      <c r="C47" s="78"/>
      <c r="D47" s="77"/>
      <c r="E47" s="3"/>
    </row>
    <row r="48" spans="1:5" ht="23" thickBot="1" x14ac:dyDescent="0.35">
      <c r="A48" s="81"/>
      <c r="B48" s="75" t="s">
        <v>204</v>
      </c>
      <c r="C48" s="78"/>
      <c r="D48" s="77"/>
      <c r="E48" s="3"/>
    </row>
    <row r="49" spans="1:5" ht="41" thickBot="1" x14ac:dyDescent="0.35">
      <c r="A49" s="81"/>
      <c r="B49" s="75" t="s">
        <v>205</v>
      </c>
      <c r="C49" s="78"/>
      <c r="D49" s="77"/>
      <c r="E49" s="3"/>
    </row>
    <row r="50" spans="1:5" ht="23" thickBot="1" x14ac:dyDescent="0.35">
      <c r="A50" s="81"/>
      <c r="B50" s="75" t="s">
        <v>206</v>
      </c>
      <c r="C50" s="78"/>
      <c r="D50" s="77"/>
      <c r="E50" s="3"/>
    </row>
    <row r="51" spans="1:5" ht="23" thickBot="1" x14ac:dyDescent="0.35">
      <c r="A51" s="81"/>
      <c r="B51" s="75" t="s">
        <v>62</v>
      </c>
      <c r="C51" s="78"/>
      <c r="D51" s="77"/>
      <c r="E51" s="3"/>
    </row>
    <row r="52" spans="1:5" ht="23" thickBot="1" x14ac:dyDescent="0.35">
      <c r="A52" s="81"/>
      <c r="B52" s="75" t="s">
        <v>63</v>
      </c>
      <c r="C52" s="78"/>
      <c r="D52" s="77"/>
      <c r="E52" s="3"/>
    </row>
    <row r="53" spans="1:5" ht="41" thickBot="1" x14ac:dyDescent="0.35">
      <c r="A53" s="81" t="s">
        <v>64</v>
      </c>
      <c r="B53" s="75" t="s">
        <v>65</v>
      </c>
      <c r="C53" s="78"/>
      <c r="D53" s="77"/>
      <c r="E53" s="3"/>
    </row>
    <row r="54" spans="1:5" ht="23" thickBot="1" x14ac:dyDescent="0.35">
      <c r="A54" s="81"/>
      <c r="B54" s="75" t="s">
        <v>66</v>
      </c>
      <c r="C54" s="78"/>
      <c r="D54" s="77"/>
      <c r="E54" s="3"/>
    </row>
    <row r="55" spans="1:5" x14ac:dyDescent="0.3">
      <c r="A55" s="81"/>
      <c r="B55" s="75" t="s">
        <v>67</v>
      </c>
      <c r="C55" s="77"/>
      <c r="D55" s="77"/>
      <c r="E55" s="3"/>
    </row>
    <row r="56" spans="1:5" s="1" customFormat="1" x14ac:dyDescent="0.3"/>
    <row r="57" spans="1:5" s="1" customFormat="1" ht="24" x14ac:dyDescent="0.3">
      <c r="A57" s="54" t="s">
        <v>68</v>
      </c>
      <c r="B57" s="54"/>
      <c r="C57" s="54" t="s">
        <v>68</v>
      </c>
      <c r="D57" s="54"/>
    </row>
    <row r="58" spans="1:5" s="1" customFormat="1" x14ac:dyDescent="0.3"/>
    <row r="59" spans="1:5" s="1" customFormat="1" x14ac:dyDescent="0.3"/>
    <row r="60" spans="1:5" s="1" customFormat="1" x14ac:dyDescent="0.3"/>
    <row r="61" spans="1:5" s="1" customFormat="1" x14ac:dyDescent="0.3"/>
    <row r="62" spans="1:5" s="1" customFormat="1" x14ac:dyDescent="0.3"/>
    <row r="63" spans="1:5" s="1" customFormat="1" x14ac:dyDescent="0.3"/>
    <row r="64" spans="1:5"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7" customFormat="1" x14ac:dyDescent="0.3"/>
  </sheetData>
  <dataConsolidate/>
  <mergeCells count="4">
    <mergeCell ref="A46:A52"/>
    <mergeCell ref="A53:A55"/>
    <mergeCell ref="A57:B57"/>
    <mergeCell ref="C57:D57"/>
  </mergeCells>
  <conditionalFormatting sqref="C16">
    <cfRule type="expression" dxfId="21" priority="26">
      <formula>#REF!="Unknown"</formula>
    </cfRule>
    <cfRule type="expression" dxfId="20" priority="27">
      <formula>#REF!="Confirmed"</formula>
    </cfRule>
    <cfRule type="expression" dxfId="19" priority="28">
      <formula>#REF!="Assumption"</formula>
    </cfRule>
  </conditionalFormatting>
  <conditionalFormatting sqref="C30">
    <cfRule type="cellIs" dxfId="18" priority="16" operator="equal">
      <formula>"Yes"</formula>
    </cfRule>
    <cfRule type="expression" dxfId="17" priority="24">
      <formula>$D30="Confirmed"</formula>
    </cfRule>
    <cfRule type="expression" dxfId="16" priority="25">
      <formula>$D30="Assumption"</formula>
    </cfRule>
  </conditionalFormatting>
  <conditionalFormatting sqref="C30">
    <cfRule type="expression" dxfId="15" priority="23">
      <formula>$D30="Unknown"</formula>
    </cfRule>
  </conditionalFormatting>
  <conditionalFormatting sqref="C38:C40">
    <cfRule type="cellIs" dxfId="14" priority="19" operator="equal">
      <formula>"Yes"</formula>
    </cfRule>
  </conditionalFormatting>
  <conditionalFormatting sqref="C26">
    <cfRule type="cellIs" dxfId="0" priority="18" operator="equal">
      <formula>"Uncertain"</formula>
    </cfRule>
    <cfRule type="cellIs" dxfId="1" priority="1" operator="equal">
      <formula>"Yes"</formula>
    </cfRule>
  </conditionalFormatting>
  <conditionalFormatting sqref="C29">
    <cfRule type="cellIs" dxfId="13" priority="17" operator="equal">
      <formula>"Yes"</formula>
    </cfRule>
  </conditionalFormatting>
  <conditionalFormatting sqref="C35">
    <cfRule type="cellIs" dxfId="12" priority="5" operator="equal">
      <formula>"Yes"</formula>
    </cfRule>
    <cfRule type="cellIs" dxfId="11" priority="15" operator="equal">
      <formula>"Yes"</formula>
    </cfRule>
  </conditionalFormatting>
  <conditionalFormatting sqref="C48:C50 C38:C41 C36">
    <cfRule type="cellIs" dxfId="10" priority="8" operator="equal">
      <formula>"Yes"</formula>
    </cfRule>
    <cfRule type="cellIs" dxfId="9" priority="14" operator="notEqual">
      <formula>"Yes"</formula>
    </cfRule>
  </conditionalFormatting>
  <conditionalFormatting sqref="C40">
    <cfRule type="cellIs" dxfId="8" priority="13" operator="equal">
      <formula>"Yes"</formula>
    </cfRule>
  </conditionalFormatting>
  <conditionalFormatting sqref="C39">
    <cfRule type="cellIs" dxfId="7" priority="11" operator="equal">
      <formula>"Yes"</formula>
    </cfRule>
  </conditionalFormatting>
  <conditionalFormatting sqref="C33">
    <cfRule type="cellIs" dxfId="6" priority="7" operator="equal">
      <formula>"Yes"</formula>
    </cfRule>
  </conditionalFormatting>
  <conditionalFormatting sqref="C34">
    <cfRule type="cellIs" dxfId="5" priority="6" operator="equal">
      <formula>"Yes"</formula>
    </cfRule>
  </conditionalFormatting>
  <conditionalFormatting sqref="C42:C47 C51:C53">
    <cfRule type="cellIs" dxfId="4" priority="4" operator="equal">
      <formula>"Yes"</formula>
    </cfRule>
  </conditionalFormatting>
  <conditionalFormatting sqref="C38">
    <cfRule type="cellIs" dxfId="3" priority="3" operator="equal">
      <formula>"Non-Standard ( Use Comments)"</formula>
    </cfRule>
  </conditionalFormatting>
  <conditionalFormatting sqref="C13">
    <cfRule type="cellIs" dxfId="2" priority="2" operator="equal">
      <formula>"Yes"</formula>
    </cfRule>
  </conditionalFormatting>
  <dataValidations count="5">
    <dataValidation type="custom" allowBlank="1" showInputMessage="1" showErrorMessage="1" errorTitle="Invalid Date" error="Please enter a date that is at least 30 days past the project start date." promptTitle="PLease enter a date" sqref="C21" xr:uid="{4F040015-6603-7F4B-9695-D6B0A1C9FC7C}">
      <formula1>C21&gt;C20+30</formula1>
    </dataValidation>
    <dataValidation type="custom" allowBlank="1" showInputMessage="1" showErrorMessage="1" errorTitle="Invalid Date" error="Please enter a date that's PAST the projected close date." promptTitle="Please enter a date" sqref="C20" xr:uid="{4F61726D-3654-354D-AA33-78090251EE04}">
      <formula1>C20&gt;C19</formula1>
    </dataValidation>
    <dataValidation type="custom" allowBlank="1" showInputMessage="1" showErrorMessage="1" error="Please enter a date at least 30 days after today." promptTitle="Please enter a date" sqref="C19" xr:uid="{2FC0243D-1E34-7647-AC1B-EC08B401C49A}">
      <formula1>AND(C19&gt;TODAY()+30)</formula1>
    </dataValidation>
    <dataValidation type="date" operator="greaterThan" allowBlank="1" showInputMessage="1" showErrorMessage="1" errorTitle="Invalid date" error="You can't enter a date equal to today or a date that is before today's date." sqref="C18" xr:uid="{DD040754-52EF-4042-B712-28D2D42E083E}">
      <formula1>TODAY()</formula1>
    </dataValidation>
    <dataValidation type="whole" allowBlank="1" showInputMessage="1" showErrorMessage="1" errorTitle="Out of range" error="The value you entered is outside of the valid range." sqref="C34:C35" xr:uid="{6FB6780D-3BC8-3544-B4DE-952020CCB343}">
      <formula1>0</formula1>
      <formula2>500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ShowAllTabs" altText="Toggle All Tabs">
                <anchor moveWithCells="1" sizeWithCells="1">
                  <from>
                    <xdr:col>6</xdr:col>
                    <xdr:colOff>1816100</xdr:colOff>
                    <xdr:row>0</xdr:row>
                    <xdr:rowOff>101600</xdr:rowOff>
                  </from>
                  <to>
                    <xdr:col>6</xdr:col>
                    <xdr:colOff>4038600</xdr:colOff>
                    <xdr:row>1</xdr:row>
                    <xdr:rowOff>88900</xdr:rowOff>
                  </to>
                </anchor>
              </controlPr>
            </control>
          </mc:Choice>
        </mc:AlternateContent>
        <mc:AlternateContent xmlns:mc="http://schemas.openxmlformats.org/markup-compatibility/2006">
          <mc:Choice Requires="x14">
            <control shapeId="1026" r:id="rId5" name="ReviewBox">
              <controlPr defaultSize="0" autoFill="0" autoPict="0" altText="CSA Use Only">
                <anchor moveWithCells="1">
                  <from>
                    <xdr:col>2</xdr:col>
                    <xdr:colOff>1727200</xdr:colOff>
                    <xdr:row>1</xdr:row>
                    <xdr:rowOff>101600</xdr:rowOff>
                  </from>
                  <to>
                    <xdr:col>2</xdr:col>
                    <xdr:colOff>6604000</xdr:colOff>
                    <xdr:row>6</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Sheet3.ImportPictureFromFile1">
                <anchor moveWithCells="1" sizeWithCells="1">
                  <from>
                    <xdr:col>0</xdr:col>
                    <xdr:colOff>1003300</xdr:colOff>
                    <xdr:row>57</xdr:row>
                    <xdr:rowOff>114300</xdr:rowOff>
                  </from>
                  <to>
                    <xdr:col>0</xdr:col>
                    <xdr:colOff>3187700</xdr:colOff>
                    <xdr:row>61</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Sheet3.ImportPictureFromFile2">
                <anchor moveWithCells="1" sizeWithCells="1">
                  <from>
                    <xdr:col>2</xdr:col>
                    <xdr:colOff>5892800</xdr:colOff>
                    <xdr:row>57</xdr:row>
                    <xdr:rowOff>203200</xdr:rowOff>
                  </from>
                  <to>
                    <xdr:col>3</xdr:col>
                    <xdr:colOff>1511300</xdr:colOff>
                    <xdr:row>61</xdr:row>
                    <xdr:rowOff>139700</xdr:rowOff>
                  </to>
                </anchor>
              </controlPr>
            </control>
          </mc:Choice>
        </mc:AlternateContent>
        <mc:AlternateContent xmlns:mc="http://schemas.openxmlformats.org/markup-compatibility/2006">
          <mc:Choice Requires="x14">
            <control shapeId="1029" r:id="rId8" name="Button 5">
              <controlPr defaultSize="0" print="0" autoFill="0" autoPict="0" macro="[0]!Sheet3.DeletePicture1">
                <anchor moveWithCells="1" sizeWithCells="1">
                  <from>
                    <xdr:col>0</xdr:col>
                    <xdr:colOff>3924300</xdr:colOff>
                    <xdr:row>58</xdr:row>
                    <xdr:rowOff>165100</xdr:rowOff>
                  </from>
                  <to>
                    <xdr:col>1</xdr:col>
                    <xdr:colOff>736600</xdr:colOff>
                    <xdr:row>60</xdr:row>
                    <xdr:rowOff>139700</xdr:rowOff>
                  </to>
                </anchor>
              </controlPr>
            </control>
          </mc:Choice>
        </mc:AlternateContent>
        <mc:AlternateContent xmlns:mc="http://schemas.openxmlformats.org/markup-compatibility/2006">
          <mc:Choice Requires="x14">
            <control shapeId="1030" r:id="rId9" name="Button 6">
              <controlPr defaultSize="0" print="0" autoFill="0" autoPict="0" macro="[0]!Sheet3.DeletePicture2">
                <anchor moveWithCells="1" sizeWithCells="1">
                  <from>
                    <xdr:col>3</xdr:col>
                    <xdr:colOff>1943100</xdr:colOff>
                    <xdr:row>58</xdr:row>
                    <xdr:rowOff>165100</xdr:rowOff>
                  </from>
                  <to>
                    <xdr:col>3</xdr:col>
                    <xdr:colOff>3467100</xdr:colOff>
                    <xdr:row>60</xdr:row>
                    <xdr:rowOff>139700</xdr:rowOff>
                  </to>
                </anchor>
              </controlPr>
            </control>
          </mc:Choice>
        </mc:AlternateContent>
        <mc:AlternateContent xmlns:mc="http://schemas.openxmlformats.org/markup-compatibility/2006">
          <mc:Choice Requires="x14">
            <control shapeId="1031" r:id="rId10" name="Button 7">
              <controlPr defaultSize="0" print="0" autoFill="0" autoPict="0" macro="[0]!Sheet3.SuperReset">
                <anchor moveWithCells="1" sizeWithCells="1">
                  <from>
                    <xdr:col>6</xdr:col>
                    <xdr:colOff>4216400</xdr:colOff>
                    <xdr:row>0</xdr:row>
                    <xdr:rowOff>101600</xdr:rowOff>
                  </from>
                  <to>
                    <xdr:col>6</xdr:col>
                    <xdr:colOff>6299200</xdr:colOff>
                    <xdr:row>1</xdr:row>
                    <xdr:rowOff>88900</xdr:rowOff>
                  </to>
                </anchor>
              </controlPr>
            </control>
          </mc:Choice>
        </mc:AlternateContent>
        <mc:AlternateContent xmlns:mc="http://schemas.openxmlformats.org/markup-compatibility/2006">
          <mc:Choice Requires="x14">
            <control shapeId="1032" r:id="rId11" name="Button 8">
              <controlPr defaultSize="0" print="0" autoFill="0" autoPict="0" macro="[0]!Sheet3.ToggleLookupTabs">
                <anchor moveWithCells="1" sizeWithCells="1">
                  <from>
                    <xdr:col>6</xdr:col>
                    <xdr:colOff>1803400</xdr:colOff>
                    <xdr:row>1</xdr:row>
                    <xdr:rowOff>279400</xdr:rowOff>
                  </from>
                  <to>
                    <xdr:col>6</xdr:col>
                    <xdr:colOff>4038600</xdr:colOff>
                    <xdr:row>3</xdr:row>
                    <xdr:rowOff>50800</xdr:rowOff>
                  </to>
                </anchor>
              </controlPr>
            </control>
          </mc:Choice>
        </mc:AlternateContent>
        <mc:AlternateContent xmlns:mc="http://schemas.openxmlformats.org/markup-compatibility/2006">
          <mc:Choice Requires="x14">
            <control shapeId="1033" r:id="rId12" name="Button 9">
              <controlPr defaultSize="0" print="0" autoFill="0" autoPict="0" macro="[0]!Sheet3.Toggle_Workbook_Protection">
                <anchor moveWithCells="1" sizeWithCells="1">
                  <from>
                    <xdr:col>6</xdr:col>
                    <xdr:colOff>1816100</xdr:colOff>
                    <xdr:row>3</xdr:row>
                    <xdr:rowOff>266700</xdr:rowOff>
                  </from>
                  <to>
                    <xdr:col>6</xdr:col>
                    <xdr:colOff>4025900</xdr:colOff>
                    <xdr:row>5</xdr:row>
                    <xdr:rowOff>12700</xdr:rowOff>
                  </to>
                </anchor>
              </controlPr>
            </control>
          </mc:Choice>
        </mc:AlternateContent>
        <mc:AlternateContent xmlns:mc="http://schemas.openxmlformats.org/markup-compatibility/2006">
          <mc:Choice Requires="x14">
            <control shapeId="1035" r:id="rId13" name="Button 11">
              <controlPr defaultSize="0" print="0" autoFill="0" autoPict="0" macro="[0]!ThisWorkbook.AllSheet_Protection_Off">
                <anchor moveWithCells="1" sizeWithCells="1">
                  <from>
                    <xdr:col>6</xdr:col>
                    <xdr:colOff>4216400</xdr:colOff>
                    <xdr:row>2</xdr:row>
                    <xdr:rowOff>0</xdr:rowOff>
                  </from>
                  <to>
                    <xdr:col>6</xdr:col>
                    <xdr:colOff>6299200</xdr:colOff>
                    <xdr:row>3</xdr:row>
                    <xdr:rowOff>25400</xdr:rowOff>
                  </to>
                </anchor>
              </controlPr>
            </control>
          </mc:Choice>
        </mc:AlternateContent>
        <mc:AlternateContent xmlns:mc="http://schemas.openxmlformats.org/markup-compatibility/2006">
          <mc:Choice Requires="x14">
            <control shapeId="1036" r:id="rId14" name="Button 12">
              <controlPr defaultSize="0" print="0" autoFill="0" autoPict="0" macro="[0]!ThisWorkbook.AllSheet_Protection_On">
                <anchor moveWithCells="1" sizeWithCells="1">
                  <from>
                    <xdr:col>6</xdr:col>
                    <xdr:colOff>4216400</xdr:colOff>
                    <xdr:row>3</xdr:row>
                    <xdr:rowOff>241300</xdr:rowOff>
                  </from>
                  <to>
                    <xdr:col>6</xdr:col>
                    <xdr:colOff>6286500</xdr:colOff>
                    <xdr:row>5</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EA336B68-450E-AD42-B207-6FDFC1674196}">
          <x14:formula1>
            <xm:f>'Lookups Clarity'!$A$3:$A$5</xm:f>
          </x14:formula1>
          <xm:sqref>C13 C37 C39:C55 C29:C33 C17 C26 C36</xm:sqref>
        </x14:dataValidation>
        <x14:dataValidation type="list" allowBlank="1" showInputMessage="1" showErrorMessage="1" xr:uid="{B48AEC30-5531-F24D-B9E2-DED791A58FC5}">
          <x14:formula1>
            <xm:f>'Lookups Clarity'!$I$3:$I$6</xm:f>
          </x14:formula1>
          <xm:sqref>C22</xm:sqref>
        </x14:dataValidation>
        <x14:dataValidation type="list" allowBlank="1" showInputMessage="1" showErrorMessage="1" xr:uid="{D10B8ADE-32AD-7E41-BD75-9248461D877D}">
          <x14:formula1>
            <xm:f>'Lookups Clarity'!$I$18:$I$27</xm:f>
          </x14:formula1>
          <xm:sqref>C25</xm:sqref>
        </x14:dataValidation>
        <x14:dataValidation type="list" allowBlank="1" showInputMessage="1" showErrorMessage="1" xr:uid="{E490970A-B1C9-C14B-BCC2-FF6AAEE446BA}">
          <x14:formula1>
            <xm:f>'Lookups Clarity'!$A$27:$A$29</xm:f>
          </x14:formula1>
          <xm:sqref>C38</xm:sqref>
        </x14:dataValidation>
        <x14:dataValidation type="list" allowBlank="1" showInputMessage="1" showErrorMessage="1" xr:uid="{765681C2-3B13-C442-B8F4-1FE5866F96F3}">
          <x14:formula1>
            <xm:f>'UseCase Map'!$B$6:$B$19</xm:f>
          </x14:formula1>
          <xm:sqref>C15</xm:sqref>
        </x14:dataValidation>
        <x14:dataValidation type="list" allowBlank="1" showInputMessage="1" showErrorMessage="1" xr:uid="{6DDC4814-1FC3-AB4A-ADA0-693C197C6F9B}">
          <x14:formula1>
            <xm:f>'Lookups Clarity'!$G$3:$G$6</xm:f>
          </x14:formula1>
          <xm:sqref>C24</xm:sqref>
        </x14:dataValidation>
        <x14:dataValidation type="list" allowBlank="1" showInputMessage="1" showErrorMessage="1" xr:uid="{7C4EFFE8-1170-F441-AF19-B582E85DAE14}">
          <x14:formula1>
            <xm:f>'Lookups Clarity'!$E$3:$E$6</xm:f>
          </x14:formula1>
          <xm:sqref>C27</xm:sqref>
        </x14:dataValidation>
        <x14:dataValidation type="list" allowBlank="1" showInputMessage="1" showErrorMessage="1" xr:uid="{7F35A4D6-2803-644A-9DF7-78F65AF31D60}">
          <x14:formula1>
            <xm:f>'Lookups Clarity'!$E$13:$E$16</xm:f>
          </x14:formula1>
          <xm:sqref>C28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D0A95-A007-F74F-AECA-5A188F1D5523}">
  <sheetPr codeName="Sheet12">
    <tabColor rgb="FF00B050"/>
  </sheetPr>
  <dimension ref="A1:R50"/>
  <sheetViews>
    <sheetView zoomScaleNormal="100" workbookViewId="0">
      <selection activeCell="C15" sqref="C15:D15"/>
    </sheetView>
  </sheetViews>
  <sheetFormatPr baseColWidth="10" defaultRowHeight="19" x14ac:dyDescent="0.25"/>
  <cols>
    <col min="2" max="2" width="33.42578125" customWidth="1"/>
    <col min="3" max="8" width="18.42578125" customWidth="1"/>
    <col min="9" max="9" width="13.28515625" customWidth="1"/>
  </cols>
  <sheetData>
    <row r="1" spans="1:18" x14ac:dyDescent="0.25">
      <c r="A1" s="25"/>
      <c r="B1" s="25"/>
      <c r="C1" s="25"/>
      <c r="D1" s="25"/>
      <c r="E1" s="25"/>
      <c r="F1" s="25"/>
      <c r="G1" s="25"/>
      <c r="H1" s="25"/>
      <c r="I1" s="25"/>
      <c r="J1" s="25"/>
      <c r="K1" s="25"/>
      <c r="L1" s="25"/>
      <c r="M1" s="23"/>
      <c r="N1" s="23"/>
      <c r="O1" s="23"/>
      <c r="P1" s="23"/>
      <c r="Q1" s="23"/>
      <c r="R1" s="23"/>
    </row>
    <row r="2" spans="1:18" x14ac:dyDescent="0.25">
      <c r="A2" s="25"/>
      <c r="B2" s="39"/>
      <c r="C2" s="33" t="s">
        <v>261</v>
      </c>
      <c r="D2" s="33" t="s">
        <v>265</v>
      </c>
      <c r="E2" s="33" t="s">
        <v>264</v>
      </c>
      <c r="F2" s="33" t="s">
        <v>263</v>
      </c>
      <c r="G2" s="33" t="s">
        <v>262</v>
      </c>
      <c r="H2" s="25"/>
      <c r="I2" s="25"/>
      <c r="J2" s="25"/>
      <c r="K2" s="25"/>
      <c r="L2" s="25"/>
      <c r="M2" s="23"/>
      <c r="N2" s="23"/>
      <c r="O2" s="23"/>
      <c r="P2" s="23"/>
      <c r="Q2" s="23"/>
      <c r="R2" s="23"/>
    </row>
    <row r="3" spans="1:18" ht="20" x14ac:dyDescent="0.25">
      <c r="A3" s="25"/>
      <c r="B3" s="35"/>
      <c r="C3" s="38" t="s">
        <v>288</v>
      </c>
      <c r="D3" s="38" t="s">
        <v>289</v>
      </c>
      <c r="E3" s="38" t="s">
        <v>277</v>
      </c>
      <c r="F3" s="38" t="s">
        <v>277</v>
      </c>
      <c r="G3" s="38" t="s">
        <v>277</v>
      </c>
      <c r="H3" s="25"/>
      <c r="I3" s="25"/>
      <c r="J3" s="25"/>
      <c r="K3" s="25"/>
      <c r="L3" s="25"/>
      <c r="M3" s="23"/>
      <c r="N3" s="23"/>
      <c r="O3" s="23"/>
      <c r="P3" s="23"/>
      <c r="Q3" s="23"/>
      <c r="R3" s="23"/>
    </row>
    <row r="4" spans="1:18" x14ac:dyDescent="0.25">
      <c r="A4" s="25"/>
      <c r="B4" s="36" t="s">
        <v>252</v>
      </c>
      <c r="C4" s="34"/>
      <c r="D4" s="34"/>
      <c r="E4" s="34"/>
      <c r="F4" s="34"/>
      <c r="G4" s="34"/>
      <c r="H4" s="25"/>
      <c r="I4" s="25"/>
      <c r="J4" s="25"/>
      <c r="K4" s="25"/>
      <c r="L4" s="25"/>
      <c r="M4" s="23"/>
      <c r="N4" s="23"/>
      <c r="O4" s="23"/>
      <c r="P4" s="23"/>
      <c r="Q4" s="23"/>
      <c r="R4" s="23"/>
    </row>
    <row r="5" spans="1:18" ht="40" x14ac:dyDescent="0.25">
      <c r="A5" s="25"/>
      <c r="B5" s="37" t="s">
        <v>258</v>
      </c>
      <c r="C5" s="34"/>
      <c r="D5" s="34"/>
      <c r="E5" s="34"/>
      <c r="F5" s="34"/>
      <c r="G5" s="34"/>
      <c r="H5" s="25"/>
      <c r="I5" s="25"/>
      <c r="J5" s="25"/>
      <c r="K5" s="25"/>
      <c r="L5" s="25"/>
      <c r="M5" s="23"/>
      <c r="N5" s="23"/>
      <c r="O5" s="23"/>
      <c r="P5" s="23"/>
      <c r="Q5" s="23"/>
      <c r="R5" s="23"/>
    </row>
    <row r="6" spans="1:18" ht="40" x14ac:dyDescent="0.25">
      <c r="A6" s="25"/>
      <c r="B6" s="37" t="s">
        <v>259</v>
      </c>
      <c r="C6" s="40"/>
      <c r="D6" s="40"/>
      <c r="E6" s="40"/>
      <c r="F6" s="40"/>
      <c r="H6" s="25"/>
      <c r="I6" s="25"/>
      <c r="J6" s="25"/>
      <c r="K6" s="25"/>
      <c r="L6" s="25"/>
      <c r="M6" s="23"/>
      <c r="N6" s="23"/>
      <c r="O6" s="23"/>
      <c r="P6" s="23"/>
      <c r="Q6" s="23"/>
      <c r="R6" s="23"/>
    </row>
    <row r="7" spans="1:18" ht="20" x14ac:dyDescent="0.25">
      <c r="A7" s="25"/>
      <c r="B7" s="37" t="s">
        <v>260</v>
      </c>
      <c r="H7" s="25"/>
      <c r="I7" s="25"/>
      <c r="J7" s="25"/>
      <c r="K7" s="25"/>
      <c r="L7" s="25"/>
      <c r="M7" s="23"/>
      <c r="N7" s="23"/>
      <c r="O7" s="23"/>
      <c r="P7" s="23"/>
      <c r="Q7" s="23"/>
      <c r="R7" s="23"/>
    </row>
    <row r="8" spans="1:18" x14ac:dyDescent="0.25">
      <c r="A8" s="25"/>
      <c r="B8" s="36" t="s">
        <v>253</v>
      </c>
      <c r="H8" s="25"/>
      <c r="I8" s="25"/>
      <c r="J8" s="25"/>
      <c r="K8" s="25"/>
      <c r="L8" s="25"/>
      <c r="M8" s="23"/>
      <c r="N8" s="23"/>
      <c r="O8" s="23"/>
      <c r="P8" s="23"/>
      <c r="Q8" s="23"/>
      <c r="R8" s="23"/>
    </row>
    <row r="9" spans="1:18" x14ac:dyDescent="0.25">
      <c r="A9" s="25"/>
      <c r="B9" s="36" t="s">
        <v>255</v>
      </c>
      <c r="H9" s="25"/>
      <c r="I9" s="25"/>
      <c r="J9" s="25"/>
      <c r="K9" s="25"/>
      <c r="L9" s="25"/>
      <c r="M9" s="23"/>
      <c r="N9" s="23"/>
      <c r="O9" s="23"/>
      <c r="P9" s="23"/>
      <c r="Q9" s="23"/>
      <c r="R9" s="23"/>
    </row>
    <row r="10" spans="1:18" x14ac:dyDescent="0.25">
      <c r="A10" s="25"/>
      <c r="B10" s="36" t="s">
        <v>254</v>
      </c>
      <c r="H10" s="25"/>
      <c r="I10" s="25"/>
      <c r="J10" s="25"/>
      <c r="K10" s="25"/>
      <c r="L10" s="25"/>
      <c r="M10" s="23"/>
      <c r="N10" s="23"/>
      <c r="O10" s="23"/>
      <c r="P10" s="23"/>
      <c r="Q10" s="23"/>
      <c r="R10" s="23"/>
    </row>
    <row r="11" spans="1:18" x14ac:dyDescent="0.25">
      <c r="A11" s="25"/>
      <c r="B11" s="36" t="s">
        <v>256</v>
      </c>
      <c r="H11" s="25"/>
      <c r="I11" s="25"/>
      <c r="J11" s="25"/>
      <c r="K11" s="25"/>
      <c r="L11" s="25"/>
      <c r="M11" s="23"/>
      <c r="N11" s="23"/>
      <c r="O11" s="23"/>
      <c r="P11" s="23"/>
      <c r="Q11" s="23"/>
      <c r="R11" s="23"/>
    </row>
    <row r="12" spans="1:18" x14ac:dyDescent="0.25">
      <c r="A12" s="25"/>
      <c r="B12" s="36" t="s">
        <v>214</v>
      </c>
      <c r="H12" s="25"/>
      <c r="I12" s="25"/>
      <c r="J12" s="25"/>
      <c r="K12" s="25"/>
      <c r="L12" s="25"/>
      <c r="M12" s="23"/>
      <c r="N12" s="23"/>
      <c r="O12" s="23"/>
      <c r="P12" s="23"/>
      <c r="Q12" s="23"/>
      <c r="R12" s="23"/>
    </row>
    <row r="13" spans="1:18" ht="40" x14ac:dyDescent="0.25">
      <c r="A13" s="25"/>
      <c r="B13" s="37" t="s">
        <v>269</v>
      </c>
      <c r="H13" s="25"/>
      <c r="I13" s="25"/>
      <c r="J13" s="25"/>
      <c r="K13" s="25"/>
      <c r="L13" s="25"/>
      <c r="M13" s="23"/>
      <c r="N13" s="23"/>
      <c r="O13" s="23"/>
      <c r="P13" s="23"/>
      <c r="Q13" s="23"/>
      <c r="R13" s="23"/>
    </row>
    <row r="14" spans="1:18" x14ac:dyDescent="0.25">
      <c r="A14" s="25"/>
      <c r="B14" s="36" t="s">
        <v>257</v>
      </c>
      <c r="H14" s="25"/>
      <c r="I14" s="25"/>
      <c r="J14" s="25"/>
      <c r="K14" s="25"/>
      <c r="L14" s="25"/>
      <c r="M14" s="23"/>
      <c r="N14" s="23"/>
      <c r="O14" s="23"/>
      <c r="P14" s="23"/>
      <c r="Q14" s="23"/>
      <c r="R14" s="23"/>
    </row>
    <row r="15" spans="1:18" ht="40" x14ac:dyDescent="0.25">
      <c r="A15" s="25"/>
      <c r="B15" s="37" t="s">
        <v>268</v>
      </c>
      <c r="C15" s="46">
        <f>SUM(Features!C20:C32)</f>
        <v>0</v>
      </c>
      <c r="D15" s="46">
        <f>SUM(Features!I20:I32)</f>
        <v>0</v>
      </c>
      <c r="E15" s="46">
        <f>SUM(Features!N20:N32)</f>
        <v>0</v>
      </c>
      <c r="F15" s="46">
        <f>SUM(Features!S20:S32)</f>
        <v>0</v>
      </c>
      <c r="G15" s="46">
        <f>SUM(Features!X20:X32)</f>
        <v>0</v>
      </c>
      <c r="H15" s="25"/>
      <c r="I15" s="25"/>
      <c r="J15" s="25"/>
      <c r="K15" s="25"/>
      <c r="L15" s="25"/>
      <c r="M15" s="23"/>
      <c r="N15" s="23"/>
      <c r="O15" s="23"/>
      <c r="P15" s="23"/>
      <c r="Q15" s="23"/>
      <c r="R15" s="23"/>
    </row>
    <row r="16" spans="1:18" ht="40" x14ac:dyDescent="0.25">
      <c r="A16" s="25"/>
      <c r="B16" s="37" t="s">
        <v>276</v>
      </c>
      <c r="H16" s="25"/>
      <c r="I16" s="25"/>
      <c r="J16" s="25"/>
      <c r="K16" s="25"/>
      <c r="L16" s="25"/>
      <c r="M16" s="23"/>
      <c r="N16" s="23"/>
      <c r="O16" s="23"/>
      <c r="P16" s="23"/>
      <c r="Q16" s="23"/>
      <c r="R16" s="23"/>
    </row>
    <row r="17" spans="1:18" ht="20" x14ac:dyDescent="0.25">
      <c r="A17" s="25"/>
      <c r="B17" s="37" t="s">
        <v>266</v>
      </c>
      <c r="H17" s="25"/>
      <c r="I17" s="25"/>
      <c r="J17" s="25"/>
      <c r="K17" s="25"/>
      <c r="L17" s="25"/>
      <c r="M17" s="23"/>
      <c r="N17" s="23"/>
      <c r="O17" s="23"/>
      <c r="P17" s="23"/>
      <c r="Q17" s="23"/>
      <c r="R17" s="23"/>
    </row>
    <row r="18" spans="1:18" ht="20" x14ac:dyDescent="0.25">
      <c r="A18" s="25"/>
      <c r="B18" s="37" t="s">
        <v>267</v>
      </c>
      <c r="C18" s="34"/>
      <c r="D18" s="34"/>
      <c r="E18" s="34"/>
      <c r="F18" s="34"/>
      <c r="G18" s="34"/>
      <c r="H18" s="25"/>
      <c r="I18" s="25"/>
      <c r="J18" s="25"/>
      <c r="K18" s="25"/>
      <c r="L18" s="25"/>
      <c r="M18" s="23"/>
      <c r="N18" s="23"/>
      <c r="O18" s="23"/>
      <c r="P18" s="23"/>
      <c r="Q18" s="23"/>
      <c r="R18" s="23"/>
    </row>
    <row r="19" spans="1:18" x14ac:dyDescent="0.25">
      <c r="A19" s="25"/>
      <c r="B19" s="25"/>
      <c r="C19" s="25"/>
      <c r="D19" s="25"/>
      <c r="E19" s="25"/>
      <c r="F19" s="25"/>
      <c r="G19" s="25"/>
      <c r="H19" s="25"/>
      <c r="I19" s="25"/>
      <c r="J19" s="25"/>
      <c r="K19" s="25"/>
      <c r="L19" s="25"/>
      <c r="M19" s="23"/>
      <c r="N19" s="23"/>
      <c r="O19" s="23"/>
      <c r="P19" s="23"/>
      <c r="Q19" s="23"/>
      <c r="R19" s="23"/>
    </row>
    <row r="20" spans="1:18" x14ac:dyDescent="0.25">
      <c r="A20" s="25"/>
      <c r="B20" s="25"/>
      <c r="C20" s="25"/>
      <c r="D20" s="25"/>
      <c r="E20" s="25"/>
      <c r="F20" s="25"/>
      <c r="G20" s="25"/>
      <c r="H20" s="25"/>
      <c r="I20" s="25"/>
      <c r="J20" s="25"/>
      <c r="K20" s="25"/>
      <c r="L20" s="25"/>
      <c r="M20" s="23"/>
      <c r="N20" s="23"/>
      <c r="O20" s="23"/>
      <c r="P20" s="23"/>
      <c r="Q20" s="23"/>
      <c r="R20" s="23"/>
    </row>
    <row r="21" spans="1:18" x14ac:dyDescent="0.25">
      <c r="A21" s="25"/>
      <c r="B21" s="25"/>
      <c r="C21" s="25"/>
      <c r="D21" s="25"/>
      <c r="E21" s="25"/>
      <c r="F21" s="25"/>
      <c r="G21" s="25"/>
      <c r="H21" s="25"/>
      <c r="I21" s="25"/>
      <c r="J21" s="25"/>
      <c r="K21" s="25"/>
      <c r="L21" s="25"/>
      <c r="M21" s="23"/>
      <c r="N21" s="23"/>
      <c r="O21" s="23"/>
      <c r="P21" s="23"/>
      <c r="Q21" s="23"/>
      <c r="R21" s="23"/>
    </row>
    <row r="22" spans="1:18" x14ac:dyDescent="0.25">
      <c r="A22" s="25"/>
      <c r="B22" s="25"/>
      <c r="C22" s="25"/>
      <c r="D22" s="25"/>
      <c r="E22" s="25"/>
      <c r="F22" s="25"/>
      <c r="G22" s="25"/>
      <c r="H22" s="25"/>
      <c r="I22" s="25"/>
      <c r="J22" s="25"/>
      <c r="K22" s="25"/>
      <c r="L22" s="25"/>
      <c r="M22" s="23"/>
      <c r="N22" s="23"/>
      <c r="O22" s="23"/>
      <c r="P22" s="23"/>
      <c r="Q22" s="23"/>
      <c r="R22" s="23"/>
    </row>
    <row r="23" spans="1:18" x14ac:dyDescent="0.25">
      <c r="A23" s="25"/>
      <c r="B23" s="25"/>
      <c r="C23" s="25"/>
      <c r="D23" s="25"/>
      <c r="E23" s="25"/>
      <c r="F23" s="25"/>
      <c r="G23" s="25"/>
      <c r="H23" s="25"/>
      <c r="I23" s="25"/>
      <c r="J23" s="25"/>
      <c r="K23" s="25"/>
      <c r="L23" s="25"/>
      <c r="M23" s="23"/>
      <c r="N23" s="23"/>
      <c r="O23" s="23"/>
      <c r="P23" s="23"/>
      <c r="Q23" s="23"/>
      <c r="R23" s="23"/>
    </row>
    <row r="24" spans="1:18" x14ac:dyDescent="0.25">
      <c r="A24" s="25"/>
      <c r="B24" s="25"/>
      <c r="C24" s="25"/>
      <c r="D24" s="25"/>
      <c r="E24" s="25"/>
      <c r="F24" s="25"/>
      <c r="G24" s="25"/>
      <c r="H24" s="25"/>
      <c r="I24" s="25"/>
      <c r="J24" s="25"/>
      <c r="K24" s="25"/>
      <c r="L24" s="25"/>
      <c r="M24" s="23"/>
      <c r="N24" s="23"/>
      <c r="O24" s="23"/>
      <c r="P24" s="23"/>
      <c r="Q24" s="23"/>
      <c r="R24" s="23"/>
    </row>
    <row r="25" spans="1:18" x14ac:dyDescent="0.25">
      <c r="A25" s="25"/>
      <c r="B25" s="25"/>
      <c r="C25" s="25"/>
      <c r="D25" s="25"/>
      <c r="E25" s="25"/>
      <c r="F25" s="25"/>
      <c r="G25" s="25"/>
      <c r="H25" s="25"/>
      <c r="I25" s="25"/>
      <c r="J25" s="25"/>
      <c r="K25" s="25"/>
      <c r="L25" s="25"/>
      <c r="M25" s="23"/>
      <c r="N25" s="23"/>
      <c r="O25" s="23"/>
      <c r="P25" s="23"/>
      <c r="Q25" s="23"/>
      <c r="R25" s="23"/>
    </row>
    <row r="26" spans="1:18" x14ac:dyDescent="0.25">
      <c r="A26" s="25"/>
      <c r="B26" s="25"/>
      <c r="C26" s="25"/>
      <c r="D26" s="25"/>
      <c r="E26" s="25"/>
      <c r="F26" s="25"/>
      <c r="G26" s="25"/>
      <c r="H26" s="25"/>
      <c r="I26" s="25"/>
      <c r="J26" s="25"/>
      <c r="K26" s="25"/>
      <c r="L26" s="25"/>
      <c r="M26" s="23"/>
      <c r="N26" s="23"/>
      <c r="O26" s="23"/>
      <c r="P26" s="23"/>
      <c r="Q26" s="23"/>
      <c r="R26" s="23"/>
    </row>
    <row r="27" spans="1:18" x14ac:dyDescent="0.25">
      <c r="A27" s="25"/>
      <c r="B27" s="25"/>
      <c r="C27" s="25"/>
      <c r="D27" s="25"/>
      <c r="E27" s="25"/>
      <c r="F27" s="25"/>
      <c r="G27" s="25"/>
      <c r="H27" s="25"/>
      <c r="I27" s="25"/>
      <c r="J27" s="25"/>
      <c r="K27" s="25"/>
      <c r="L27" s="25"/>
      <c r="M27" s="23"/>
      <c r="N27" s="23"/>
      <c r="O27" s="23"/>
      <c r="P27" s="23"/>
      <c r="Q27" s="23"/>
      <c r="R27" s="23"/>
    </row>
    <row r="28" spans="1:18" x14ac:dyDescent="0.25">
      <c r="A28" s="25"/>
      <c r="B28" s="25"/>
      <c r="C28" s="25"/>
      <c r="D28" s="25"/>
      <c r="E28" s="25"/>
      <c r="F28" s="25"/>
      <c r="G28" s="25"/>
      <c r="H28" s="25"/>
      <c r="I28" s="25"/>
      <c r="J28" s="25"/>
      <c r="K28" s="25"/>
      <c r="L28" s="25"/>
      <c r="M28" s="23"/>
      <c r="N28" s="23"/>
      <c r="O28" s="23"/>
      <c r="P28" s="23"/>
      <c r="Q28" s="23"/>
      <c r="R28" s="23"/>
    </row>
    <row r="29" spans="1:18" x14ac:dyDescent="0.25">
      <c r="A29" s="25"/>
      <c r="B29" s="25"/>
      <c r="C29" s="25"/>
      <c r="D29" s="25"/>
      <c r="E29" s="25"/>
      <c r="F29" s="25"/>
      <c r="G29" s="25"/>
      <c r="H29" s="25"/>
      <c r="I29" s="25"/>
      <c r="J29" s="25"/>
      <c r="K29" s="25"/>
      <c r="L29" s="25"/>
      <c r="M29" s="23"/>
      <c r="N29" s="23"/>
      <c r="O29" s="23"/>
      <c r="P29" s="23"/>
      <c r="Q29" s="23"/>
      <c r="R29" s="23"/>
    </row>
    <row r="30" spans="1:18" x14ac:dyDescent="0.25">
      <c r="A30" s="25"/>
      <c r="B30" s="25"/>
      <c r="C30" s="25"/>
      <c r="D30" s="25"/>
      <c r="E30" s="25"/>
      <c r="F30" s="25"/>
      <c r="G30" s="25"/>
      <c r="H30" s="25"/>
      <c r="I30" s="25"/>
      <c r="J30" s="25"/>
      <c r="K30" s="25"/>
      <c r="L30" s="25"/>
      <c r="M30" s="23"/>
      <c r="N30" s="23"/>
      <c r="O30" s="23"/>
      <c r="P30" s="23"/>
      <c r="Q30" s="23"/>
      <c r="R30" s="23"/>
    </row>
    <row r="31" spans="1:18" x14ac:dyDescent="0.25">
      <c r="A31" s="25"/>
      <c r="B31" s="25"/>
      <c r="C31" s="25"/>
      <c r="D31" s="25"/>
      <c r="E31" s="25"/>
      <c r="F31" s="25"/>
      <c r="G31" s="25"/>
      <c r="H31" s="25"/>
      <c r="I31" s="25"/>
      <c r="J31" s="25"/>
      <c r="K31" s="25"/>
      <c r="L31" s="25"/>
      <c r="M31" s="23"/>
      <c r="N31" s="23"/>
      <c r="O31" s="23"/>
      <c r="P31" s="23"/>
      <c r="Q31" s="23"/>
      <c r="R31" s="23"/>
    </row>
    <row r="32" spans="1:18" x14ac:dyDescent="0.25">
      <c r="A32" s="25"/>
      <c r="B32" s="25"/>
      <c r="C32" s="25"/>
      <c r="D32" s="25"/>
      <c r="E32" s="25"/>
      <c r="F32" s="25"/>
      <c r="G32" s="25"/>
      <c r="H32" s="25"/>
      <c r="I32" s="25"/>
      <c r="J32" s="25"/>
      <c r="K32" s="25"/>
      <c r="L32" s="25"/>
      <c r="M32" s="23"/>
      <c r="N32" s="23"/>
      <c r="O32" s="23"/>
      <c r="P32" s="23"/>
      <c r="Q32" s="23"/>
      <c r="R32" s="23"/>
    </row>
    <row r="33" spans="1:18" x14ac:dyDescent="0.25">
      <c r="A33" s="25"/>
      <c r="B33" s="25"/>
      <c r="C33" s="25"/>
      <c r="D33" s="25"/>
      <c r="E33" s="25"/>
      <c r="F33" s="25"/>
      <c r="G33" s="25"/>
      <c r="H33" s="25"/>
      <c r="I33" s="25"/>
      <c r="J33" s="25"/>
      <c r="K33" s="25"/>
      <c r="L33" s="25"/>
      <c r="M33" s="23"/>
      <c r="N33" s="23"/>
      <c r="O33" s="23"/>
      <c r="P33" s="23"/>
      <c r="Q33" s="23"/>
      <c r="R33" s="23"/>
    </row>
    <row r="34" spans="1:18" x14ac:dyDescent="0.25">
      <c r="A34" s="25"/>
      <c r="B34" s="25"/>
      <c r="C34" s="25"/>
      <c r="D34" s="25"/>
      <c r="E34" s="25"/>
      <c r="F34" s="25"/>
      <c r="G34" s="25"/>
      <c r="H34" s="25"/>
      <c r="I34" s="25"/>
      <c r="J34" s="25"/>
      <c r="K34" s="25"/>
      <c r="L34" s="25"/>
      <c r="M34" s="23"/>
      <c r="N34" s="23"/>
      <c r="O34" s="23"/>
      <c r="P34" s="23"/>
      <c r="Q34" s="23"/>
      <c r="R34" s="23"/>
    </row>
    <row r="35" spans="1:18" x14ac:dyDescent="0.25">
      <c r="A35" s="25"/>
      <c r="B35" s="25"/>
      <c r="C35" s="25"/>
      <c r="D35" s="25"/>
      <c r="E35" s="25"/>
      <c r="F35" s="25"/>
      <c r="G35" s="25"/>
      <c r="H35" s="25"/>
      <c r="I35" s="25"/>
      <c r="J35" s="25"/>
      <c r="K35" s="25"/>
      <c r="L35" s="25"/>
      <c r="M35" s="23"/>
      <c r="N35" s="23"/>
      <c r="O35" s="23"/>
      <c r="P35" s="23"/>
      <c r="Q35" s="23"/>
      <c r="R35" s="23"/>
    </row>
    <row r="36" spans="1:18" x14ac:dyDescent="0.25">
      <c r="A36" s="25"/>
      <c r="B36" s="25"/>
      <c r="C36" s="25"/>
      <c r="D36" s="25"/>
      <c r="E36" s="25"/>
      <c r="F36" s="25"/>
      <c r="G36" s="25"/>
      <c r="H36" s="25"/>
      <c r="I36" s="25"/>
      <c r="J36" s="25"/>
      <c r="K36" s="25"/>
      <c r="L36" s="25"/>
      <c r="M36" s="23"/>
      <c r="N36" s="23"/>
      <c r="O36" s="23"/>
      <c r="P36" s="23"/>
      <c r="Q36" s="23"/>
      <c r="R36" s="23"/>
    </row>
    <row r="37" spans="1:18" x14ac:dyDescent="0.25">
      <c r="A37" s="25"/>
      <c r="B37" s="25"/>
      <c r="C37" s="25"/>
      <c r="D37" s="25"/>
      <c r="E37" s="25"/>
      <c r="F37" s="25"/>
      <c r="G37" s="25"/>
      <c r="H37" s="25"/>
      <c r="I37" s="25"/>
      <c r="J37" s="25"/>
      <c r="K37" s="25"/>
      <c r="L37" s="25"/>
      <c r="M37" s="23"/>
      <c r="N37" s="23"/>
      <c r="O37" s="23"/>
      <c r="P37" s="23"/>
      <c r="Q37" s="23"/>
      <c r="R37" s="23"/>
    </row>
    <row r="38" spans="1:18" x14ac:dyDescent="0.25">
      <c r="A38" s="25"/>
      <c r="B38" s="25"/>
      <c r="C38" s="25"/>
      <c r="D38" s="25"/>
      <c r="E38" s="25"/>
      <c r="F38" s="25"/>
      <c r="G38" s="25"/>
      <c r="H38" s="25"/>
      <c r="I38" s="25"/>
      <c r="J38" s="25"/>
      <c r="K38" s="25"/>
      <c r="L38" s="25"/>
      <c r="M38" s="23"/>
      <c r="N38" s="23"/>
      <c r="O38" s="23"/>
      <c r="P38" s="23"/>
      <c r="Q38" s="23"/>
      <c r="R38" s="23"/>
    </row>
    <row r="39" spans="1:18" x14ac:dyDescent="0.25">
      <c r="A39" s="25"/>
      <c r="B39" s="25"/>
      <c r="C39" s="25"/>
      <c r="D39" s="25"/>
      <c r="E39" s="25"/>
      <c r="F39" s="25"/>
      <c r="G39" s="25"/>
      <c r="H39" s="25"/>
      <c r="I39" s="25"/>
      <c r="J39" s="25"/>
      <c r="K39" s="25"/>
      <c r="L39" s="25"/>
      <c r="M39" s="23"/>
      <c r="N39" s="23"/>
      <c r="O39" s="23"/>
      <c r="P39" s="23"/>
      <c r="Q39" s="23"/>
      <c r="R39" s="23"/>
    </row>
    <row r="40" spans="1:18" x14ac:dyDescent="0.25">
      <c r="A40" s="25"/>
      <c r="B40" s="25"/>
      <c r="C40" s="25"/>
      <c r="D40" s="25"/>
      <c r="E40" s="25"/>
      <c r="F40" s="25"/>
      <c r="G40" s="25"/>
      <c r="H40" s="25"/>
      <c r="I40" s="25"/>
      <c r="J40" s="25"/>
      <c r="K40" s="25"/>
      <c r="L40" s="25"/>
      <c r="M40" s="23"/>
      <c r="N40" s="23"/>
      <c r="O40" s="23"/>
      <c r="P40" s="23"/>
      <c r="Q40" s="23"/>
      <c r="R40" s="23"/>
    </row>
    <row r="41" spans="1:18" x14ac:dyDescent="0.25">
      <c r="A41" s="25"/>
      <c r="B41" s="25"/>
      <c r="C41" s="25"/>
      <c r="D41" s="25"/>
      <c r="E41" s="25"/>
      <c r="F41" s="25"/>
      <c r="G41" s="25"/>
      <c r="H41" s="25"/>
      <c r="I41" s="25"/>
      <c r="J41" s="25"/>
      <c r="K41" s="25"/>
      <c r="L41" s="25"/>
      <c r="M41" s="23"/>
      <c r="N41" s="23"/>
      <c r="O41" s="23"/>
      <c r="P41" s="23"/>
      <c r="Q41" s="23"/>
      <c r="R41" s="23"/>
    </row>
    <row r="42" spans="1:18" x14ac:dyDescent="0.25">
      <c r="A42" s="25"/>
      <c r="B42" s="25"/>
      <c r="C42" s="25"/>
      <c r="D42" s="25"/>
      <c r="E42" s="25"/>
      <c r="F42" s="25"/>
      <c r="G42" s="25"/>
      <c r="H42" s="25"/>
      <c r="I42" s="25"/>
      <c r="J42" s="25"/>
      <c r="K42" s="25"/>
      <c r="L42" s="25"/>
      <c r="M42" s="23"/>
      <c r="N42" s="23"/>
      <c r="O42" s="23"/>
      <c r="P42" s="23"/>
      <c r="Q42" s="23"/>
      <c r="R42" s="23"/>
    </row>
    <row r="43" spans="1:18" x14ac:dyDescent="0.25">
      <c r="A43" s="23"/>
      <c r="B43" s="23"/>
      <c r="C43" s="23"/>
      <c r="D43" s="23"/>
      <c r="E43" s="23"/>
      <c r="F43" s="23"/>
      <c r="G43" s="23"/>
      <c r="H43" s="23"/>
      <c r="I43" s="23"/>
      <c r="J43" s="23"/>
      <c r="K43" s="23"/>
      <c r="L43" s="23"/>
      <c r="M43" s="23"/>
      <c r="N43" s="23"/>
      <c r="O43" s="23"/>
      <c r="P43" s="23"/>
      <c r="Q43" s="23"/>
      <c r="R43" s="23"/>
    </row>
    <row r="44" spans="1:18" x14ac:dyDescent="0.25">
      <c r="A44" s="23"/>
      <c r="B44" s="23"/>
      <c r="C44" s="23"/>
      <c r="D44" s="23"/>
      <c r="E44" s="23"/>
      <c r="F44" s="23"/>
      <c r="G44" s="23"/>
      <c r="H44" s="23"/>
      <c r="I44" s="23"/>
      <c r="J44" s="23"/>
      <c r="K44" s="23"/>
      <c r="L44" s="23"/>
      <c r="M44" s="23"/>
      <c r="N44" s="23"/>
      <c r="O44" s="23"/>
      <c r="P44" s="23"/>
      <c r="Q44" s="23"/>
      <c r="R44" s="23"/>
    </row>
    <row r="45" spans="1:18" x14ac:dyDescent="0.25">
      <c r="A45" s="23"/>
      <c r="B45" s="23"/>
      <c r="C45" s="23"/>
      <c r="D45" s="23"/>
      <c r="E45" s="23"/>
      <c r="F45" s="23"/>
      <c r="G45" s="23"/>
      <c r="H45" s="23"/>
      <c r="I45" s="23"/>
      <c r="J45" s="23"/>
      <c r="K45" s="23"/>
      <c r="L45" s="23"/>
      <c r="M45" s="23"/>
      <c r="N45" s="23"/>
      <c r="O45" s="23"/>
      <c r="P45" s="23"/>
      <c r="Q45" s="23"/>
      <c r="R45" s="23"/>
    </row>
    <row r="46" spans="1:18" x14ac:dyDescent="0.25">
      <c r="A46" s="23"/>
      <c r="B46" s="23"/>
      <c r="C46" s="23"/>
      <c r="D46" s="23"/>
      <c r="E46" s="23"/>
      <c r="F46" s="23"/>
      <c r="G46" s="23"/>
      <c r="H46" s="23"/>
      <c r="I46" s="23"/>
      <c r="J46" s="23"/>
      <c r="K46" s="23"/>
      <c r="L46" s="23"/>
      <c r="M46" s="23"/>
      <c r="N46" s="23"/>
      <c r="O46" s="23"/>
      <c r="P46" s="23"/>
      <c r="Q46" s="23"/>
      <c r="R46" s="23"/>
    </row>
    <row r="47" spans="1:18" x14ac:dyDescent="0.25">
      <c r="A47" s="23"/>
      <c r="B47" s="23"/>
      <c r="C47" s="23"/>
      <c r="D47" s="23"/>
      <c r="E47" s="23"/>
      <c r="F47" s="23"/>
      <c r="G47" s="23"/>
      <c r="H47" s="23"/>
      <c r="I47" s="23"/>
      <c r="J47" s="23"/>
      <c r="K47" s="23"/>
      <c r="L47" s="23"/>
      <c r="M47" s="23"/>
      <c r="N47" s="23"/>
      <c r="O47" s="23"/>
      <c r="P47" s="23"/>
      <c r="Q47" s="23"/>
      <c r="R47" s="23"/>
    </row>
    <row r="48" spans="1:18" x14ac:dyDescent="0.25">
      <c r="A48" s="23"/>
      <c r="B48" s="23"/>
      <c r="C48" s="23"/>
      <c r="D48" s="23"/>
      <c r="E48" s="23"/>
      <c r="F48" s="23"/>
      <c r="G48" s="23"/>
      <c r="H48" s="23"/>
      <c r="I48" s="23"/>
      <c r="J48" s="23"/>
      <c r="K48" s="23"/>
      <c r="L48" s="23"/>
      <c r="M48" s="23"/>
      <c r="N48" s="23"/>
      <c r="O48" s="23"/>
      <c r="P48" s="23"/>
      <c r="Q48" s="23"/>
      <c r="R48" s="23"/>
    </row>
    <row r="49" spans="1:18" x14ac:dyDescent="0.25">
      <c r="A49" s="23"/>
      <c r="B49" s="23"/>
      <c r="C49" s="23"/>
      <c r="D49" s="23"/>
      <c r="E49" s="23"/>
      <c r="F49" s="23"/>
      <c r="G49" s="23"/>
      <c r="H49" s="23"/>
      <c r="I49" s="23"/>
      <c r="J49" s="23"/>
      <c r="K49" s="23"/>
      <c r="L49" s="23"/>
      <c r="M49" s="23"/>
      <c r="N49" s="23"/>
      <c r="O49" s="23"/>
      <c r="P49" s="23"/>
      <c r="Q49" s="23"/>
      <c r="R49" s="23"/>
    </row>
    <row r="50" spans="1:18" x14ac:dyDescent="0.25">
      <c r="A50" s="23"/>
      <c r="B50" s="23"/>
      <c r="C50" s="23"/>
      <c r="D50" s="23"/>
      <c r="E50" s="23"/>
      <c r="F50" s="23"/>
      <c r="G50" s="23"/>
      <c r="H50" s="23"/>
      <c r="I50" s="23"/>
      <c r="J50" s="23"/>
      <c r="K50" s="23"/>
      <c r="L50" s="23"/>
      <c r="M50" s="23"/>
      <c r="N50" s="23"/>
      <c r="O50" s="23"/>
      <c r="P50" s="23"/>
      <c r="Q50" s="23"/>
      <c r="R50" s="23"/>
    </row>
  </sheetData>
  <conditionalFormatting sqref="C7:G7">
    <cfRule type="containsText" dxfId="29" priority="2" operator="containsText" text="Yes">
      <formula>NOT(ISERROR(SEARCH("Yes",C7)))</formula>
    </cfRule>
  </conditionalFormatting>
  <conditionalFormatting sqref="C12:G12">
    <cfRule type="containsText" dxfId="28" priority="1" operator="containsText" text="Yes">
      <formula>NOT(ISERROR(SEARCH("Yes",C12)))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BE9E99-1CC9-B842-9221-72B7F4FFAE07}">
          <x14:formula1>
            <xm:f>'Lookups Clarity'!$A$33:$A$35</xm:f>
          </x14:formula1>
          <xm:sqref>C7:G7</xm:sqref>
        </x14:dataValidation>
        <x14:dataValidation type="list" allowBlank="1" showInputMessage="1" showErrorMessage="1" xr:uid="{5C44DA9F-8253-5543-A5BF-EAAE9EB3913F}">
          <x14:formula1>
            <xm:f>'Lookups Clarity'!$A$3:$A$5</xm:f>
          </x14:formula1>
          <xm:sqref>C12:G12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CC60-2527-054E-B55C-82671C42B794}">
  <sheetPr codeName="Sheet10">
    <tabColor rgb="FF00B050"/>
  </sheetPr>
  <dimension ref="A1:AF35"/>
  <sheetViews>
    <sheetView zoomScale="150" zoomScaleNormal="150" workbookViewId="0">
      <selection activeCell="B5" sqref="B5:L6"/>
    </sheetView>
  </sheetViews>
  <sheetFormatPr baseColWidth="10" defaultRowHeight="19" x14ac:dyDescent="0.25"/>
  <cols>
    <col min="2" max="2" width="16.85546875" customWidth="1"/>
    <col min="3" max="3" width="13.5703125" customWidth="1"/>
    <col min="4" max="7" width="12" customWidth="1"/>
    <col min="8" max="12" width="12.7109375" customWidth="1"/>
    <col min="13" max="13" width="12.85546875" bestFit="1" customWidth="1"/>
    <col min="14" max="14" width="13.85546875" bestFit="1" customWidth="1"/>
    <col min="15" max="17" width="12.85546875" customWidth="1"/>
    <col min="18" max="22" width="12.7109375" customWidth="1"/>
    <col min="23" max="23" width="13.140625" customWidth="1"/>
    <col min="24" max="24" width="16.85546875" bestFit="1" customWidth="1"/>
    <col min="25" max="25" width="11.42578125" customWidth="1"/>
    <col min="26" max="26" width="13.5703125" customWidth="1"/>
    <col min="30" max="30" width="17.140625" customWidth="1"/>
    <col min="31" max="31" width="15.42578125" customWidth="1"/>
  </cols>
  <sheetData>
    <row r="1" spans="1:32" x14ac:dyDescent="0.25">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row>
    <row r="2" spans="1:32" ht="29" x14ac:dyDescent="0.25">
      <c r="A2" s="27"/>
      <c r="B2" s="29" t="s">
        <v>210</v>
      </c>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row>
    <row r="3" spans="1:32" ht="60" customHeight="1" x14ac:dyDescent="0.25">
      <c r="A3" s="27"/>
      <c r="B3" s="41"/>
      <c r="C3" s="58" t="str">
        <f>Simplified!C3</f>
        <v>Originations</v>
      </c>
      <c r="D3" s="59"/>
      <c r="E3" s="59"/>
      <c r="F3" s="59"/>
      <c r="G3" s="60"/>
      <c r="H3" s="55" t="str">
        <f>Simplified!$D$3</f>
        <v>Transaction Fraud</v>
      </c>
      <c r="I3" s="56"/>
      <c r="J3" s="56"/>
      <c r="K3" s="56"/>
      <c r="L3" s="57"/>
      <c r="M3" s="58" t="str">
        <f>Simplified!E3</f>
        <v>Use Case Name here</v>
      </c>
      <c r="N3" s="59"/>
      <c r="O3" s="59"/>
      <c r="P3" s="59"/>
      <c r="Q3" s="60"/>
      <c r="R3" s="55" t="str">
        <f>Simplified!F3</f>
        <v>Use Case Name here</v>
      </c>
      <c r="S3" s="56"/>
      <c r="T3" s="56"/>
      <c r="U3" s="56"/>
      <c r="V3" s="57"/>
      <c r="W3" s="58" t="str">
        <f>Simplified!G3</f>
        <v>Use Case Name here</v>
      </c>
      <c r="X3" s="59"/>
      <c r="Y3" s="59"/>
      <c r="Z3" s="59"/>
      <c r="AA3" s="60"/>
      <c r="AB3" s="27"/>
      <c r="AC3" s="27"/>
      <c r="AD3" s="27"/>
      <c r="AE3" s="27"/>
      <c r="AF3" s="27"/>
    </row>
    <row r="4" spans="1:32" ht="120" x14ac:dyDescent="0.25">
      <c r="A4" s="27"/>
      <c r="B4" s="42" t="s">
        <v>290</v>
      </c>
      <c r="C4" s="44" t="s">
        <v>270</v>
      </c>
      <c r="D4" s="44" t="s">
        <v>271</v>
      </c>
      <c r="E4" s="44" t="s">
        <v>272</v>
      </c>
      <c r="F4" s="44" t="s">
        <v>274</v>
      </c>
      <c r="G4" s="44" t="s">
        <v>273</v>
      </c>
      <c r="H4" s="43" t="s">
        <v>270</v>
      </c>
      <c r="I4" s="43" t="s">
        <v>271</v>
      </c>
      <c r="J4" s="43" t="s">
        <v>272</v>
      </c>
      <c r="K4" s="43" t="s">
        <v>274</v>
      </c>
      <c r="L4" s="43" t="s">
        <v>273</v>
      </c>
      <c r="M4" s="44" t="s">
        <v>270</v>
      </c>
      <c r="N4" s="44" t="s">
        <v>271</v>
      </c>
      <c r="O4" s="44" t="s">
        <v>272</v>
      </c>
      <c r="P4" s="44" t="s">
        <v>274</v>
      </c>
      <c r="Q4" s="44" t="s">
        <v>273</v>
      </c>
      <c r="R4" s="43" t="s">
        <v>270</v>
      </c>
      <c r="S4" s="43" t="s">
        <v>271</v>
      </c>
      <c r="T4" s="43" t="s">
        <v>272</v>
      </c>
      <c r="U4" s="43" t="s">
        <v>274</v>
      </c>
      <c r="V4" s="43" t="s">
        <v>273</v>
      </c>
      <c r="W4" s="44" t="s">
        <v>270</v>
      </c>
      <c r="X4" s="44" t="s">
        <v>271</v>
      </c>
      <c r="Y4" s="44" t="s">
        <v>272</v>
      </c>
      <c r="Z4" s="44" t="s">
        <v>274</v>
      </c>
      <c r="AA4" s="44" t="s">
        <v>273</v>
      </c>
      <c r="AB4" s="27"/>
      <c r="AC4" s="27"/>
      <c r="AD4" s="27"/>
      <c r="AE4" s="27"/>
      <c r="AF4" s="27"/>
    </row>
    <row r="5" spans="1:32" x14ac:dyDescent="0.25">
      <c r="A5" s="27"/>
      <c r="B5" s="47"/>
      <c r="C5" s="48"/>
      <c r="D5" s="48"/>
      <c r="E5" s="48"/>
      <c r="F5" s="48"/>
      <c r="G5" s="48"/>
      <c r="H5" s="49"/>
      <c r="I5" s="49"/>
      <c r="J5" s="49"/>
      <c r="K5" s="49"/>
      <c r="L5" s="49"/>
      <c r="M5" s="48"/>
      <c r="N5" s="48"/>
      <c r="O5" s="48"/>
      <c r="P5" s="48"/>
      <c r="Q5" s="48"/>
      <c r="R5" s="49"/>
      <c r="S5" s="49"/>
      <c r="T5" s="49"/>
      <c r="U5" s="49"/>
      <c r="V5" s="49"/>
      <c r="W5" s="49"/>
      <c r="X5" s="49"/>
      <c r="Y5" s="49"/>
      <c r="Z5" s="49"/>
      <c r="AA5" s="50"/>
      <c r="AB5" s="27"/>
      <c r="AC5" s="27"/>
      <c r="AD5" s="27"/>
      <c r="AE5" s="27"/>
      <c r="AF5" s="27"/>
    </row>
    <row r="6" spans="1:32" x14ac:dyDescent="0.25">
      <c r="A6" s="27"/>
      <c r="B6" s="47"/>
      <c r="C6" s="48"/>
      <c r="D6" s="48"/>
      <c r="E6" s="48"/>
      <c r="F6" s="48"/>
      <c r="G6" s="48"/>
      <c r="H6" s="49"/>
      <c r="I6" s="49"/>
      <c r="J6" s="49"/>
      <c r="K6" s="49"/>
      <c r="L6" s="49"/>
      <c r="M6" s="48"/>
      <c r="N6" s="48"/>
      <c r="O6" s="48"/>
      <c r="P6" s="48"/>
      <c r="Q6" s="48"/>
      <c r="R6" s="49"/>
      <c r="S6" s="49"/>
      <c r="T6" s="49"/>
      <c r="U6" s="49"/>
      <c r="V6" s="49"/>
      <c r="W6" s="49"/>
      <c r="X6" s="49"/>
      <c r="Y6" s="49"/>
      <c r="Z6" s="49"/>
      <c r="AA6" s="49"/>
      <c r="AB6" s="27"/>
      <c r="AC6" s="27"/>
      <c r="AD6" s="27"/>
      <c r="AE6" s="27"/>
      <c r="AF6" s="27"/>
    </row>
    <row r="7" spans="1:32" x14ac:dyDescent="0.25">
      <c r="A7" s="27"/>
      <c r="B7" s="47"/>
      <c r="C7" s="48"/>
      <c r="D7" s="48"/>
      <c r="E7" s="48"/>
      <c r="F7" s="48"/>
      <c r="G7" s="48"/>
      <c r="H7" s="49"/>
      <c r="I7" s="49"/>
      <c r="J7" s="49"/>
      <c r="K7" s="49"/>
      <c r="L7" s="49"/>
      <c r="M7" s="48"/>
      <c r="N7" s="48"/>
      <c r="O7" s="48"/>
      <c r="P7" s="48"/>
      <c r="Q7" s="48"/>
      <c r="R7" s="49"/>
      <c r="S7" s="49"/>
      <c r="T7" s="49"/>
      <c r="U7" s="49"/>
      <c r="V7" s="49"/>
      <c r="W7" s="49"/>
      <c r="X7" s="49"/>
      <c r="Y7" s="49"/>
      <c r="Z7" s="49"/>
      <c r="AA7" s="49"/>
      <c r="AB7" s="27"/>
      <c r="AC7" s="27"/>
      <c r="AD7" s="27"/>
      <c r="AE7" s="27"/>
      <c r="AF7" s="27"/>
    </row>
    <row r="8" spans="1:32" x14ac:dyDescent="0.25">
      <c r="A8" s="27"/>
      <c r="B8" s="47"/>
      <c r="C8" s="48"/>
      <c r="D8" s="48"/>
      <c r="E8" s="48"/>
      <c r="F8" s="48"/>
      <c r="G8" s="48"/>
      <c r="H8" s="49"/>
      <c r="I8" s="49"/>
      <c r="J8" s="49"/>
      <c r="K8" s="49"/>
      <c r="L8" s="49"/>
      <c r="M8" s="48"/>
      <c r="N8" s="48"/>
      <c r="O8" s="48"/>
      <c r="P8" s="48"/>
      <c r="Q8" s="48"/>
      <c r="R8" s="49"/>
      <c r="S8" s="49"/>
      <c r="T8" s="49"/>
      <c r="U8" s="49"/>
      <c r="V8" s="49"/>
      <c r="W8" s="49"/>
      <c r="X8" s="49"/>
      <c r="Y8" s="49"/>
      <c r="Z8" s="49"/>
      <c r="AA8" s="49"/>
      <c r="AB8" s="27"/>
      <c r="AC8" s="27"/>
      <c r="AD8" s="27"/>
      <c r="AE8" s="27"/>
      <c r="AF8" s="27"/>
    </row>
    <row r="9" spans="1:32" x14ac:dyDescent="0.25">
      <c r="A9" s="27"/>
      <c r="B9" s="47"/>
      <c r="C9" s="48"/>
      <c r="D9" s="48"/>
      <c r="E9" s="48"/>
      <c r="F9" s="48"/>
      <c r="G9" s="48"/>
      <c r="H9" s="49"/>
      <c r="I9" s="49"/>
      <c r="J9" s="49"/>
      <c r="K9" s="49"/>
      <c r="L9" s="49"/>
      <c r="M9" s="48"/>
      <c r="N9" s="48"/>
      <c r="O9" s="48"/>
      <c r="P9" s="48"/>
      <c r="Q9" s="48"/>
      <c r="R9" s="49"/>
      <c r="S9" s="49"/>
      <c r="T9" s="49"/>
      <c r="U9" s="49"/>
      <c r="V9" s="49"/>
      <c r="W9" s="49"/>
      <c r="X9" s="49"/>
      <c r="Y9" s="49"/>
      <c r="Z9" s="49"/>
      <c r="AA9" s="49"/>
      <c r="AB9" s="27"/>
      <c r="AC9" s="27"/>
      <c r="AD9" s="27"/>
      <c r="AE9" s="27"/>
      <c r="AF9" s="27"/>
    </row>
    <row r="10" spans="1:32" x14ac:dyDescent="0.25">
      <c r="A10" s="27"/>
      <c r="B10" s="47"/>
      <c r="C10" s="48"/>
      <c r="D10" s="48"/>
      <c r="E10" s="48"/>
      <c r="F10" s="48"/>
      <c r="G10" s="48"/>
      <c r="H10" s="49"/>
      <c r="I10" s="49"/>
      <c r="J10" s="49"/>
      <c r="K10" s="49"/>
      <c r="L10" s="49"/>
      <c r="M10" s="48"/>
      <c r="N10" s="48"/>
      <c r="O10" s="48"/>
      <c r="P10" s="48"/>
      <c r="Q10" s="48"/>
      <c r="R10" s="49"/>
      <c r="S10" s="49"/>
      <c r="T10" s="49"/>
      <c r="U10" s="49"/>
      <c r="V10" s="49"/>
      <c r="W10" s="49"/>
      <c r="X10" s="49"/>
      <c r="Y10" s="49"/>
      <c r="Z10" s="49"/>
      <c r="AA10" s="49"/>
      <c r="AB10" s="27"/>
      <c r="AC10" s="27"/>
      <c r="AD10" s="27"/>
      <c r="AE10" s="27"/>
      <c r="AF10" s="27"/>
    </row>
    <row r="11" spans="1:32" x14ac:dyDescent="0.25">
      <c r="A11" s="27"/>
      <c r="B11" s="47"/>
      <c r="C11" s="48"/>
      <c r="D11" s="48"/>
      <c r="E11" s="48"/>
      <c r="F11" s="48"/>
      <c r="G11" s="48"/>
      <c r="H11" s="49"/>
      <c r="I11" s="49"/>
      <c r="J11" s="49"/>
      <c r="K11" s="49"/>
      <c r="L11" s="49"/>
      <c r="M11" s="48"/>
      <c r="N11" s="48"/>
      <c r="O11" s="48"/>
      <c r="P11" s="48"/>
      <c r="Q11" s="48"/>
      <c r="R11" s="49"/>
      <c r="S11" s="49"/>
      <c r="T11" s="49"/>
      <c r="U11" s="49"/>
      <c r="V11" s="49"/>
      <c r="W11" s="49"/>
      <c r="X11" s="49"/>
      <c r="Y11" s="49"/>
      <c r="Z11" s="49"/>
      <c r="AA11" s="49"/>
      <c r="AB11" s="27"/>
      <c r="AC11" s="27"/>
      <c r="AD11" s="27"/>
      <c r="AE11" s="27"/>
      <c r="AF11" s="27"/>
    </row>
    <row r="12" spans="1:32" x14ac:dyDescent="0.25">
      <c r="A12" s="27"/>
      <c r="B12" s="47"/>
      <c r="C12" s="48"/>
      <c r="D12" s="48"/>
      <c r="E12" s="48"/>
      <c r="F12" s="48"/>
      <c r="G12" s="48"/>
      <c r="H12" s="49"/>
      <c r="I12" s="49"/>
      <c r="J12" s="49"/>
      <c r="K12" s="49"/>
      <c r="L12" s="49"/>
      <c r="M12" s="48"/>
      <c r="N12" s="48"/>
      <c r="O12" s="48"/>
      <c r="P12" s="48"/>
      <c r="Q12" s="48"/>
      <c r="R12" s="49"/>
      <c r="S12" s="49"/>
      <c r="T12" s="49"/>
      <c r="U12" s="49"/>
      <c r="V12" s="49"/>
      <c r="W12" s="49"/>
      <c r="X12" s="49"/>
      <c r="Y12" s="49"/>
      <c r="Z12" s="49"/>
      <c r="AA12" s="49"/>
      <c r="AB12" s="27"/>
      <c r="AC12" s="27"/>
      <c r="AD12" s="27"/>
      <c r="AE12" s="27"/>
      <c r="AF12" s="27"/>
    </row>
    <row r="13" spans="1:32" x14ac:dyDescent="0.25">
      <c r="A13" s="27"/>
      <c r="B13" s="47"/>
      <c r="C13" s="48"/>
      <c r="D13" s="48"/>
      <c r="E13" s="48"/>
      <c r="F13" s="48"/>
      <c r="G13" s="48"/>
      <c r="H13" s="49"/>
      <c r="I13" s="49"/>
      <c r="J13" s="49"/>
      <c r="K13" s="49"/>
      <c r="L13" s="49"/>
      <c r="M13" s="48"/>
      <c r="N13" s="48"/>
      <c r="O13" s="48"/>
      <c r="P13" s="48"/>
      <c r="Q13" s="48"/>
      <c r="R13" s="49"/>
      <c r="S13" s="49"/>
      <c r="T13" s="49"/>
      <c r="U13" s="49"/>
      <c r="V13" s="49"/>
      <c r="W13" s="49"/>
      <c r="X13" s="49"/>
      <c r="Y13" s="49"/>
      <c r="Z13" s="49"/>
      <c r="AA13" s="49"/>
      <c r="AB13" s="27"/>
      <c r="AC13" s="27"/>
      <c r="AD13" s="27"/>
      <c r="AE13" s="27"/>
      <c r="AF13" s="27"/>
    </row>
    <row r="14" spans="1:32" x14ac:dyDescent="0.25">
      <c r="A14" s="27"/>
      <c r="B14" s="47"/>
      <c r="C14" s="48"/>
      <c r="D14" s="48"/>
      <c r="E14" s="48"/>
      <c r="F14" s="48"/>
      <c r="G14" s="48"/>
      <c r="H14" s="49"/>
      <c r="I14" s="49"/>
      <c r="J14" s="49"/>
      <c r="K14" s="49"/>
      <c r="L14" s="49"/>
      <c r="M14" s="48"/>
      <c r="N14" s="48"/>
      <c r="O14" s="48"/>
      <c r="P14" s="48"/>
      <c r="Q14" s="48"/>
      <c r="R14" s="49"/>
      <c r="S14" s="49"/>
      <c r="T14" s="49"/>
      <c r="U14" s="49"/>
      <c r="V14" s="49"/>
      <c r="W14" s="49"/>
      <c r="X14" s="49"/>
      <c r="Y14" s="49"/>
      <c r="Z14" s="49"/>
      <c r="AA14" s="49"/>
      <c r="AB14" s="27"/>
      <c r="AC14" s="27"/>
      <c r="AD14" s="27"/>
      <c r="AE14" s="27"/>
      <c r="AF14" s="27"/>
    </row>
    <row r="15" spans="1:32" x14ac:dyDescent="0.25">
      <c r="A15" s="27"/>
      <c r="B15" s="47"/>
      <c r="C15" s="48"/>
      <c r="D15" s="48"/>
      <c r="E15" s="48"/>
      <c r="F15" s="48"/>
      <c r="G15" s="48"/>
      <c r="H15" s="49"/>
      <c r="I15" s="49"/>
      <c r="J15" s="49"/>
      <c r="K15" s="49"/>
      <c r="L15" s="49"/>
      <c r="M15" s="48"/>
      <c r="N15" s="48"/>
      <c r="O15" s="48"/>
      <c r="P15" s="48"/>
      <c r="Q15" s="48"/>
      <c r="R15" s="49"/>
      <c r="S15" s="49"/>
      <c r="T15" s="49"/>
      <c r="U15" s="49"/>
      <c r="V15" s="49"/>
      <c r="W15" s="49"/>
      <c r="X15" s="49"/>
      <c r="Y15" s="49"/>
      <c r="Z15" s="49"/>
      <c r="AA15" s="49"/>
      <c r="AB15" s="27"/>
      <c r="AC15" s="27"/>
      <c r="AD15" s="27"/>
      <c r="AE15" s="27"/>
      <c r="AF15" s="27"/>
    </row>
    <row r="16" spans="1:32" x14ac:dyDescent="0.25">
      <c r="A16" s="27"/>
      <c r="B16" s="47"/>
      <c r="C16" s="48"/>
      <c r="D16" s="48"/>
      <c r="E16" s="48"/>
      <c r="F16" s="48"/>
      <c r="G16" s="48"/>
      <c r="H16" s="49"/>
      <c r="I16" s="49"/>
      <c r="J16" s="49"/>
      <c r="K16" s="49"/>
      <c r="L16" s="49"/>
      <c r="M16" s="48"/>
      <c r="N16" s="48"/>
      <c r="O16" s="48"/>
      <c r="P16" s="48"/>
      <c r="Q16" s="48"/>
      <c r="R16" s="49"/>
      <c r="S16" s="49"/>
      <c r="T16" s="49"/>
      <c r="U16" s="49"/>
      <c r="V16" s="49"/>
      <c r="W16" s="49"/>
      <c r="X16" s="49"/>
      <c r="Y16" s="49"/>
      <c r="Z16" s="49"/>
      <c r="AA16" s="49"/>
      <c r="AB16" s="27"/>
      <c r="AC16" s="27"/>
      <c r="AD16" s="27"/>
      <c r="AE16" s="27"/>
      <c r="AF16" s="27"/>
    </row>
    <row r="17" spans="1:32" x14ac:dyDescent="0.25">
      <c r="A17" s="27"/>
      <c r="B17" s="47"/>
      <c r="C17" s="48"/>
      <c r="D17" s="48"/>
      <c r="E17" s="48"/>
      <c r="F17" s="48"/>
      <c r="G17" s="48"/>
      <c r="H17" s="49"/>
      <c r="I17" s="49"/>
      <c r="J17" s="49"/>
      <c r="K17" s="49"/>
      <c r="L17" s="49"/>
      <c r="M17" s="48"/>
      <c r="N17" s="48"/>
      <c r="O17" s="48"/>
      <c r="P17" s="48"/>
      <c r="Q17" s="48"/>
      <c r="R17" s="49"/>
      <c r="S17" s="49"/>
      <c r="T17" s="49"/>
      <c r="U17" s="49"/>
      <c r="V17" s="49"/>
      <c r="W17" s="49"/>
      <c r="X17" s="49"/>
      <c r="Y17" s="49"/>
      <c r="Z17" s="49"/>
      <c r="AA17" s="49"/>
      <c r="AB17" s="27"/>
      <c r="AC17" s="27"/>
      <c r="AD17" s="27"/>
      <c r="AE17" s="27"/>
      <c r="AF17" s="27"/>
    </row>
    <row r="18" spans="1:32" x14ac:dyDescent="0.25">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row>
    <row r="19" spans="1:32" x14ac:dyDescent="0.25">
      <c r="A19" s="27"/>
      <c r="B19" s="45" t="s">
        <v>275</v>
      </c>
      <c r="C19" s="27"/>
      <c r="D19" s="27"/>
      <c r="E19" s="27"/>
      <c r="F19" s="27"/>
      <c r="G19" s="27"/>
      <c r="H19" s="45" t="s">
        <v>275</v>
      </c>
      <c r="I19" s="27"/>
      <c r="J19" s="27"/>
      <c r="K19" s="27"/>
      <c r="L19" s="27"/>
      <c r="M19" s="45" t="s">
        <v>275</v>
      </c>
      <c r="N19" s="27"/>
      <c r="O19" s="27"/>
      <c r="P19" s="27"/>
      <c r="Q19" s="27"/>
      <c r="R19" s="45" t="s">
        <v>275</v>
      </c>
      <c r="S19" s="27"/>
      <c r="T19" s="27"/>
      <c r="U19" s="27"/>
      <c r="V19" s="27"/>
      <c r="W19" s="45" t="s">
        <v>275</v>
      </c>
      <c r="X19" s="27"/>
      <c r="Y19" s="27"/>
      <c r="Z19" s="27"/>
      <c r="AA19" s="27"/>
      <c r="AB19" s="27"/>
      <c r="AC19" s="27"/>
      <c r="AD19" s="27"/>
      <c r="AE19" s="27"/>
      <c r="AF19" s="27"/>
    </row>
    <row r="20" spans="1:32" x14ac:dyDescent="0.25">
      <c r="A20" s="27"/>
      <c r="B20" s="33" t="str">
        <f t="shared" ref="B20:B32" si="0">IF($B5="","",$B5)</f>
        <v/>
      </c>
      <c r="C20" s="46">
        <f>C5*(D5+E5+F5)</f>
        <v>0</v>
      </c>
      <c r="D20" s="27"/>
      <c r="E20" s="27"/>
      <c r="F20" s="27"/>
      <c r="G20" s="27"/>
      <c r="H20" s="33" t="str">
        <f t="shared" ref="H20:H32" si="1">IF($B5="","",$B5)</f>
        <v/>
      </c>
      <c r="I20" s="46">
        <f t="shared" ref="I20:I32" si="2">H5*(I5+J5+K5)</f>
        <v>0</v>
      </c>
      <c r="J20" s="27"/>
      <c r="K20" s="27"/>
      <c r="L20" s="27"/>
      <c r="M20" s="33" t="str">
        <f t="shared" ref="M20:M32" si="3">IF($B5="","",$B5)</f>
        <v/>
      </c>
      <c r="N20" s="46">
        <f t="shared" ref="N20:N32" si="4">M5*(N5+O5+P5)</f>
        <v>0</v>
      </c>
      <c r="O20" s="27"/>
      <c r="P20" s="27"/>
      <c r="Q20" s="27"/>
      <c r="R20" s="33" t="str">
        <f t="shared" ref="R20:R32" si="5">IF($B5="","",$B5)</f>
        <v/>
      </c>
      <c r="S20" s="46">
        <f t="shared" ref="S20:S32" si="6">R5*(S5+T5+U5)</f>
        <v>0</v>
      </c>
      <c r="T20" s="27"/>
      <c r="U20" s="27"/>
      <c r="V20" s="27"/>
      <c r="W20" s="33" t="str">
        <f t="shared" ref="W20:W32" si="7">IF($B5="","",$B5)</f>
        <v/>
      </c>
      <c r="X20" s="46">
        <f>W5*(X5+Y5+Z5)</f>
        <v>0</v>
      </c>
      <c r="Y20" s="27"/>
      <c r="Z20" s="27"/>
      <c r="AA20" s="27"/>
      <c r="AB20" s="27"/>
      <c r="AC20" s="27"/>
      <c r="AD20" s="27"/>
      <c r="AE20" s="27"/>
      <c r="AF20" s="27"/>
    </row>
    <row r="21" spans="1:32" x14ac:dyDescent="0.25">
      <c r="A21" s="27"/>
      <c r="B21" s="33" t="str">
        <f t="shared" si="0"/>
        <v/>
      </c>
      <c r="C21" s="46">
        <f>C6*(D6+E6+F6)</f>
        <v>0</v>
      </c>
      <c r="D21" s="27"/>
      <c r="E21" s="27"/>
      <c r="F21" s="27"/>
      <c r="G21" s="27"/>
      <c r="H21" s="33" t="str">
        <f t="shared" si="1"/>
        <v/>
      </c>
      <c r="I21" s="46">
        <f t="shared" si="2"/>
        <v>0</v>
      </c>
      <c r="J21" s="27"/>
      <c r="K21" s="27"/>
      <c r="L21" s="27"/>
      <c r="M21" s="33" t="str">
        <f t="shared" si="3"/>
        <v/>
      </c>
      <c r="N21" s="46">
        <f t="shared" si="4"/>
        <v>0</v>
      </c>
      <c r="O21" s="27"/>
      <c r="P21" s="27"/>
      <c r="Q21" s="27"/>
      <c r="R21" s="33" t="str">
        <f t="shared" si="5"/>
        <v/>
      </c>
      <c r="S21" s="46">
        <f t="shared" si="6"/>
        <v>0</v>
      </c>
      <c r="T21" s="27"/>
      <c r="U21" s="27"/>
      <c r="V21" s="27"/>
      <c r="W21" s="33" t="str">
        <f t="shared" si="7"/>
        <v/>
      </c>
      <c r="X21" s="46">
        <f>X6*(Y6+Z6+AA6)</f>
        <v>0</v>
      </c>
      <c r="Y21" s="27"/>
      <c r="Z21" s="27"/>
      <c r="AA21" s="27"/>
      <c r="AB21" s="27"/>
      <c r="AC21" s="27"/>
      <c r="AD21" s="27"/>
      <c r="AE21" s="27"/>
      <c r="AF21" s="27"/>
    </row>
    <row r="22" spans="1:32" x14ac:dyDescent="0.25">
      <c r="A22" s="27"/>
      <c r="B22" s="33" t="str">
        <f t="shared" si="0"/>
        <v/>
      </c>
      <c r="C22" s="46">
        <f>C7*(D7+E7+F7)</f>
        <v>0</v>
      </c>
      <c r="D22" s="27"/>
      <c r="E22" s="27"/>
      <c r="F22" s="27"/>
      <c r="G22" s="27"/>
      <c r="H22" s="33" t="str">
        <f t="shared" si="1"/>
        <v/>
      </c>
      <c r="I22" s="46">
        <f t="shared" si="2"/>
        <v>0</v>
      </c>
      <c r="J22" s="27"/>
      <c r="K22" s="27"/>
      <c r="L22" s="27"/>
      <c r="M22" s="33" t="str">
        <f t="shared" si="3"/>
        <v/>
      </c>
      <c r="N22" s="46">
        <f t="shared" si="4"/>
        <v>0</v>
      </c>
      <c r="O22" s="27"/>
      <c r="P22" s="27"/>
      <c r="Q22" s="27"/>
      <c r="R22" s="33" t="str">
        <f t="shared" si="5"/>
        <v/>
      </c>
      <c r="S22" s="46">
        <f t="shared" si="6"/>
        <v>0</v>
      </c>
      <c r="T22" s="27"/>
      <c r="U22" s="27"/>
      <c r="V22" s="27"/>
      <c r="W22" s="33" t="str">
        <f t="shared" si="7"/>
        <v/>
      </c>
      <c r="X22" s="46">
        <f>X7*(Y7+Z7+AA7)</f>
        <v>0</v>
      </c>
      <c r="Y22" s="27"/>
      <c r="Z22" s="27"/>
      <c r="AA22" s="27"/>
      <c r="AB22" s="27"/>
      <c r="AC22" s="27"/>
      <c r="AD22" s="27"/>
      <c r="AE22" s="27"/>
      <c r="AF22" s="27"/>
    </row>
    <row r="23" spans="1:32" x14ac:dyDescent="0.25">
      <c r="A23" s="27"/>
      <c r="B23" s="33" t="str">
        <f t="shared" si="0"/>
        <v/>
      </c>
      <c r="C23" s="46">
        <f>C8*(D8+E8+F8)</f>
        <v>0</v>
      </c>
      <c r="D23" s="27"/>
      <c r="E23" s="27"/>
      <c r="F23" s="27"/>
      <c r="G23" s="27"/>
      <c r="H23" s="33" t="str">
        <f t="shared" si="1"/>
        <v/>
      </c>
      <c r="I23" s="46">
        <f t="shared" si="2"/>
        <v>0</v>
      </c>
      <c r="J23" s="27"/>
      <c r="K23" s="27"/>
      <c r="L23" s="27"/>
      <c r="M23" s="33" t="str">
        <f t="shared" si="3"/>
        <v/>
      </c>
      <c r="N23" s="46">
        <f t="shared" si="4"/>
        <v>0</v>
      </c>
      <c r="O23" s="27"/>
      <c r="P23" s="27"/>
      <c r="Q23" s="27"/>
      <c r="R23" s="33" t="str">
        <f t="shared" si="5"/>
        <v/>
      </c>
      <c r="S23" s="46">
        <f t="shared" si="6"/>
        <v>0</v>
      </c>
      <c r="T23" s="27"/>
      <c r="U23" s="27"/>
      <c r="V23" s="27"/>
      <c r="W23" s="33" t="str">
        <f t="shared" si="7"/>
        <v/>
      </c>
      <c r="X23" s="46">
        <f>X8*(Y8+Z8+AA8)</f>
        <v>0</v>
      </c>
      <c r="Y23" s="27"/>
      <c r="Z23" s="27"/>
      <c r="AA23" s="27"/>
      <c r="AB23" s="27"/>
      <c r="AC23" s="27"/>
      <c r="AD23" s="27"/>
      <c r="AE23" s="27"/>
      <c r="AF23" s="27"/>
    </row>
    <row r="24" spans="1:32" x14ac:dyDescent="0.25">
      <c r="A24" s="27"/>
      <c r="B24" s="33" t="str">
        <f t="shared" si="0"/>
        <v/>
      </c>
      <c r="C24" s="46">
        <f>C9*(D9+E9+F9)</f>
        <v>0</v>
      </c>
      <c r="D24" s="27"/>
      <c r="E24" s="27"/>
      <c r="F24" s="27"/>
      <c r="G24" s="27"/>
      <c r="H24" s="33" t="str">
        <f t="shared" si="1"/>
        <v/>
      </c>
      <c r="I24" s="46">
        <f t="shared" si="2"/>
        <v>0</v>
      </c>
      <c r="J24" s="27"/>
      <c r="K24" s="27"/>
      <c r="L24" s="27"/>
      <c r="M24" s="33" t="str">
        <f t="shared" si="3"/>
        <v/>
      </c>
      <c r="N24" s="46">
        <f t="shared" si="4"/>
        <v>0</v>
      </c>
      <c r="O24" s="27"/>
      <c r="P24" s="27"/>
      <c r="Q24" s="27"/>
      <c r="R24" s="33" t="str">
        <f t="shared" si="5"/>
        <v/>
      </c>
      <c r="S24" s="46">
        <f t="shared" si="6"/>
        <v>0</v>
      </c>
      <c r="T24" s="27"/>
      <c r="U24" s="27"/>
      <c r="V24" s="27"/>
      <c r="W24" s="33" t="str">
        <f t="shared" si="7"/>
        <v/>
      </c>
      <c r="X24" s="46">
        <f>X9*(Y9+Z9+AA9)</f>
        <v>0</v>
      </c>
      <c r="Y24" s="27"/>
      <c r="Z24" s="27"/>
      <c r="AA24" s="27"/>
      <c r="AB24" s="27"/>
      <c r="AC24" s="27"/>
      <c r="AD24" s="27"/>
      <c r="AE24" s="27"/>
      <c r="AF24" s="27"/>
    </row>
    <row r="25" spans="1:32" x14ac:dyDescent="0.25">
      <c r="A25" s="27"/>
      <c r="B25" s="33" t="str">
        <f t="shared" si="0"/>
        <v/>
      </c>
      <c r="C25" s="33"/>
      <c r="D25" s="27"/>
      <c r="E25" s="27"/>
      <c r="F25" s="27"/>
      <c r="G25" s="27"/>
      <c r="H25" s="33" t="str">
        <f t="shared" si="1"/>
        <v/>
      </c>
      <c r="I25" s="46">
        <f t="shared" si="2"/>
        <v>0</v>
      </c>
      <c r="J25" s="27"/>
      <c r="K25" s="27"/>
      <c r="L25" s="27"/>
      <c r="M25" s="33" t="str">
        <f t="shared" si="3"/>
        <v/>
      </c>
      <c r="N25" s="46">
        <f t="shared" si="4"/>
        <v>0</v>
      </c>
      <c r="O25" s="27"/>
      <c r="P25" s="27"/>
      <c r="Q25" s="27"/>
      <c r="R25" s="33" t="str">
        <f t="shared" si="5"/>
        <v/>
      </c>
      <c r="S25" s="46">
        <f t="shared" si="6"/>
        <v>0</v>
      </c>
      <c r="T25" s="27"/>
      <c r="U25" s="27"/>
      <c r="V25" s="27"/>
      <c r="W25" s="33" t="str">
        <f t="shared" si="7"/>
        <v/>
      </c>
      <c r="X25" s="33"/>
      <c r="Y25" s="27"/>
      <c r="Z25" s="27"/>
      <c r="AA25" s="27"/>
      <c r="AB25" s="27"/>
      <c r="AC25" s="27"/>
      <c r="AD25" s="27"/>
      <c r="AE25" s="27"/>
      <c r="AF25" s="27"/>
    </row>
    <row r="26" spans="1:32" x14ac:dyDescent="0.25">
      <c r="A26" s="27"/>
      <c r="B26" s="33" t="str">
        <f t="shared" si="0"/>
        <v/>
      </c>
      <c r="C26" s="33"/>
      <c r="D26" s="27"/>
      <c r="E26" s="27"/>
      <c r="F26" s="27"/>
      <c r="G26" s="27"/>
      <c r="H26" s="33" t="str">
        <f t="shared" si="1"/>
        <v/>
      </c>
      <c r="I26" s="46">
        <f t="shared" si="2"/>
        <v>0</v>
      </c>
      <c r="J26" s="27"/>
      <c r="K26" s="27"/>
      <c r="L26" s="27"/>
      <c r="M26" s="33" t="str">
        <f t="shared" si="3"/>
        <v/>
      </c>
      <c r="N26" s="46">
        <f t="shared" si="4"/>
        <v>0</v>
      </c>
      <c r="O26" s="27"/>
      <c r="P26" s="27"/>
      <c r="Q26" s="27"/>
      <c r="R26" s="33" t="str">
        <f t="shared" si="5"/>
        <v/>
      </c>
      <c r="S26" s="46">
        <f t="shared" si="6"/>
        <v>0</v>
      </c>
      <c r="T26" s="27"/>
      <c r="U26" s="27"/>
      <c r="V26" s="27"/>
      <c r="W26" s="33" t="str">
        <f t="shared" si="7"/>
        <v/>
      </c>
      <c r="X26" s="33"/>
      <c r="Y26" s="27"/>
      <c r="Z26" s="27"/>
      <c r="AA26" s="27"/>
      <c r="AB26" s="27"/>
      <c r="AC26" s="27"/>
      <c r="AD26" s="27"/>
      <c r="AE26" s="27"/>
      <c r="AF26" s="27"/>
    </row>
    <row r="27" spans="1:32" x14ac:dyDescent="0.25">
      <c r="A27" s="27"/>
      <c r="B27" s="33" t="str">
        <f t="shared" si="0"/>
        <v/>
      </c>
      <c r="C27" s="33"/>
      <c r="D27" s="27"/>
      <c r="E27" s="27"/>
      <c r="F27" s="27"/>
      <c r="G27" s="27"/>
      <c r="H27" s="33" t="str">
        <f t="shared" si="1"/>
        <v/>
      </c>
      <c r="I27" s="46">
        <f t="shared" si="2"/>
        <v>0</v>
      </c>
      <c r="J27" s="27"/>
      <c r="K27" s="27"/>
      <c r="L27" s="27"/>
      <c r="M27" s="33" t="str">
        <f t="shared" si="3"/>
        <v/>
      </c>
      <c r="N27" s="46">
        <f t="shared" si="4"/>
        <v>0</v>
      </c>
      <c r="O27" s="27"/>
      <c r="P27" s="27"/>
      <c r="Q27" s="27"/>
      <c r="R27" s="33" t="str">
        <f t="shared" si="5"/>
        <v/>
      </c>
      <c r="S27" s="46">
        <f t="shared" si="6"/>
        <v>0</v>
      </c>
      <c r="T27" s="27"/>
      <c r="U27" s="27"/>
      <c r="V27" s="27"/>
      <c r="W27" s="33" t="str">
        <f t="shared" si="7"/>
        <v/>
      </c>
      <c r="X27" s="33"/>
      <c r="Y27" s="27"/>
      <c r="Z27" s="27"/>
      <c r="AA27" s="27"/>
      <c r="AB27" s="27"/>
      <c r="AC27" s="27"/>
      <c r="AD27" s="27"/>
      <c r="AE27" s="27"/>
      <c r="AF27" s="27"/>
    </row>
    <row r="28" spans="1:32" x14ac:dyDescent="0.25">
      <c r="A28" s="27"/>
      <c r="B28" s="33" t="str">
        <f t="shared" si="0"/>
        <v/>
      </c>
      <c r="C28" s="33"/>
      <c r="D28" s="27"/>
      <c r="E28" s="27"/>
      <c r="F28" s="27"/>
      <c r="G28" s="27"/>
      <c r="H28" s="33" t="str">
        <f t="shared" si="1"/>
        <v/>
      </c>
      <c r="I28" s="46">
        <f t="shared" si="2"/>
        <v>0</v>
      </c>
      <c r="J28" s="27"/>
      <c r="K28" s="27"/>
      <c r="L28" s="27"/>
      <c r="M28" s="33" t="str">
        <f t="shared" si="3"/>
        <v/>
      </c>
      <c r="N28" s="46">
        <f t="shared" si="4"/>
        <v>0</v>
      </c>
      <c r="O28" s="27"/>
      <c r="P28" s="27"/>
      <c r="Q28" s="27"/>
      <c r="R28" s="33" t="str">
        <f t="shared" si="5"/>
        <v/>
      </c>
      <c r="S28" s="46">
        <f t="shared" si="6"/>
        <v>0</v>
      </c>
      <c r="T28" s="27"/>
      <c r="U28" s="27"/>
      <c r="V28" s="27"/>
      <c r="W28" s="33" t="str">
        <f t="shared" si="7"/>
        <v/>
      </c>
      <c r="X28" s="33"/>
      <c r="Y28" s="27"/>
      <c r="Z28" s="27"/>
      <c r="AA28" s="27"/>
      <c r="AB28" s="27"/>
      <c r="AC28" s="27"/>
      <c r="AD28" s="27"/>
      <c r="AE28" s="27"/>
      <c r="AF28" s="27"/>
    </row>
    <row r="29" spans="1:32" x14ac:dyDescent="0.25">
      <c r="A29" s="27"/>
      <c r="B29" s="33" t="str">
        <f t="shared" si="0"/>
        <v/>
      </c>
      <c r="C29" s="33"/>
      <c r="D29" s="27"/>
      <c r="E29" s="27"/>
      <c r="F29" s="27"/>
      <c r="G29" s="27"/>
      <c r="H29" s="33" t="str">
        <f t="shared" si="1"/>
        <v/>
      </c>
      <c r="I29" s="46">
        <f t="shared" si="2"/>
        <v>0</v>
      </c>
      <c r="J29" s="27"/>
      <c r="K29" s="27"/>
      <c r="L29" s="27"/>
      <c r="M29" s="33" t="str">
        <f t="shared" si="3"/>
        <v/>
      </c>
      <c r="N29" s="46">
        <f t="shared" si="4"/>
        <v>0</v>
      </c>
      <c r="O29" s="27"/>
      <c r="P29" s="27"/>
      <c r="Q29" s="27"/>
      <c r="R29" s="33" t="str">
        <f t="shared" si="5"/>
        <v/>
      </c>
      <c r="S29" s="46">
        <f t="shared" si="6"/>
        <v>0</v>
      </c>
      <c r="T29" s="27"/>
      <c r="U29" s="27"/>
      <c r="V29" s="27"/>
      <c r="W29" s="33" t="str">
        <f t="shared" si="7"/>
        <v/>
      </c>
      <c r="X29" s="33"/>
      <c r="Y29" s="27"/>
      <c r="Z29" s="27"/>
      <c r="AA29" s="27"/>
      <c r="AB29" s="27"/>
      <c r="AC29" s="27"/>
      <c r="AD29" s="27"/>
      <c r="AE29" s="27"/>
      <c r="AF29" s="27"/>
    </row>
    <row r="30" spans="1:32" x14ac:dyDescent="0.25">
      <c r="A30" s="27"/>
      <c r="B30" s="33" t="str">
        <f t="shared" si="0"/>
        <v/>
      </c>
      <c r="C30" s="33"/>
      <c r="D30" s="27"/>
      <c r="E30" s="27"/>
      <c r="F30" s="27"/>
      <c r="G30" s="27"/>
      <c r="H30" s="33" t="str">
        <f t="shared" si="1"/>
        <v/>
      </c>
      <c r="I30" s="46">
        <f t="shared" si="2"/>
        <v>0</v>
      </c>
      <c r="J30" s="27"/>
      <c r="K30" s="27"/>
      <c r="L30" s="27"/>
      <c r="M30" s="33" t="str">
        <f t="shared" si="3"/>
        <v/>
      </c>
      <c r="N30" s="46">
        <f t="shared" si="4"/>
        <v>0</v>
      </c>
      <c r="O30" s="27"/>
      <c r="P30" s="27"/>
      <c r="Q30" s="27"/>
      <c r="R30" s="33" t="str">
        <f t="shared" si="5"/>
        <v/>
      </c>
      <c r="S30" s="46">
        <f t="shared" si="6"/>
        <v>0</v>
      </c>
      <c r="T30" s="27"/>
      <c r="U30" s="27"/>
      <c r="V30" s="27"/>
      <c r="W30" s="33" t="str">
        <f t="shared" si="7"/>
        <v/>
      </c>
      <c r="X30" s="33"/>
      <c r="Y30" s="27"/>
      <c r="Z30" s="27"/>
      <c r="AA30" s="27"/>
      <c r="AB30" s="27"/>
      <c r="AC30" s="27"/>
      <c r="AD30" s="27"/>
      <c r="AE30" s="27"/>
      <c r="AF30" s="27"/>
    </row>
    <row r="31" spans="1:32" x14ac:dyDescent="0.25">
      <c r="A31" s="27"/>
      <c r="B31" s="33" t="str">
        <f t="shared" si="0"/>
        <v/>
      </c>
      <c r="C31" s="33"/>
      <c r="D31" s="27"/>
      <c r="E31" s="27"/>
      <c r="F31" s="27"/>
      <c r="G31" s="27"/>
      <c r="H31" s="33" t="str">
        <f t="shared" si="1"/>
        <v/>
      </c>
      <c r="I31" s="46">
        <f t="shared" si="2"/>
        <v>0</v>
      </c>
      <c r="J31" s="27"/>
      <c r="K31" s="27"/>
      <c r="L31" s="27"/>
      <c r="M31" s="33" t="str">
        <f t="shared" si="3"/>
        <v/>
      </c>
      <c r="N31" s="46">
        <f t="shared" si="4"/>
        <v>0</v>
      </c>
      <c r="O31" s="27"/>
      <c r="P31" s="27"/>
      <c r="Q31" s="27"/>
      <c r="R31" s="33" t="str">
        <f t="shared" si="5"/>
        <v/>
      </c>
      <c r="S31" s="46">
        <f t="shared" si="6"/>
        <v>0</v>
      </c>
      <c r="T31" s="27"/>
      <c r="U31" s="27"/>
      <c r="V31" s="27"/>
      <c r="W31" s="33" t="str">
        <f t="shared" si="7"/>
        <v/>
      </c>
      <c r="X31" s="33"/>
      <c r="Y31" s="27"/>
      <c r="Z31" s="27"/>
      <c r="AA31" s="27"/>
      <c r="AB31" s="27"/>
      <c r="AC31" s="27"/>
      <c r="AD31" s="27"/>
      <c r="AE31" s="27"/>
      <c r="AF31" s="27"/>
    </row>
    <row r="32" spans="1:32" x14ac:dyDescent="0.25">
      <c r="A32" s="27"/>
      <c r="B32" s="33" t="str">
        <f t="shared" si="0"/>
        <v/>
      </c>
      <c r="C32" s="33"/>
      <c r="D32" s="27"/>
      <c r="E32" s="27"/>
      <c r="F32" s="27"/>
      <c r="G32" s="27"/>
      <c r="H32" s="33" t="str">
        <f t="shared" si="1"/>
        <v/>
      </c>
      <c r="I32" s="46">
        <f t="shared" si="2"/>
        <v>0</v>
      </c>
      <c r="J32" s="27"/>
      <c r="K32" s="27"/>
      <c r="L32" s="27"/>
      <c r="M32" s="33" t="str">
        <f t="shared" si="3"/>
        <v/>
      </c>
      <c r="N32" s="46">
        <f t="shared" si="4"/>
        <v>0</v>
      </c>
      <c r="O32" s="27"/>
      <c r="P32" s="27"/>
      <c r="Q32" s="27"/>
      <c r="R32" s="33" t="str">
        <f t="shared" si="5"/>
        <v/>
      </c>
      <c r="S32" s="46">
        <f t="shared" si="6"/>
        <v>0</v>
      </c>
      <c r="T32" s="27"/>
      <c r="U32" s="27"/>
      <c r="V32" s="27"/>
      <c r="W32" s="33" t="str">
        <f t="shared" si="7"/>
        <v/>
      </c>
      <c r="X32" s="33"/>
      <c r="Y32" s="27"/>
      <c r="Z32" s="27"/>
      <c r="AA32" s="27"/>
      <c r="AB32" s="27"/>
      <c r="AC32" s="27"/>
      <c r="AD32" s="27"/>
      <c r="AE32" s="27"/>
      <c r="AF32" s="27"/>
    </row>
    <row r="33" spans="1:32" x14ac:dyDescent="0.25">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row>
    <row r="34" spans="1:32" x14ac:dyDescent="0.2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row>
    <row r="35" spans="1:32" x14ac:dyDescent="0.25">
      <c r="A35" s="24"/>
      <c r="B35" s="24"/>
      <c r="C35" s="24"/>
      <c r="D35" s="24"/>
      <c r="E35" s="24"/>
      <c r="F35" s="24"/>
      <c r="G35" s="24"/>
      <c r="H35" s="24"/>
      <c r="I35" s="24"/>
      <c r="J35" s="24"/>
      <c r="K35" s="24"/>
      <c r="L35" s="24"/>
      <c r="M35" s="24"/>
      <c r="N35" s="24"/>
      <c r="O35" s="24"/>
      <c r="P35" s="24"/>
      <c r="Q35" s="24"/>
      <c r="R35" s="24"/>
      <c r="S35" s="24"/>
      <c r="T35" s="24"/>
      <c r="U35" s="24"/>
      <c r="V35" s="24"/>
    </row>
  </sheetData>
  <mergeCells count="5">
    <mergeCell ref="H3:L3"/>
    <mergeCell ref="M3:Q3"/>
    <mergeCell ref="R3:V3"/>
    <mergeCell ref="W3:AA3"/>
    <mergeCell ref="C3:G3"/>
  </mergeCells>
  <conditionalFormatting sqref="X5:AA5 Z8 X6:Y9 Z6 C5:V15">
    <cfRule type="cellIs" dxfId="27" priority="4" operator="between">
      <formula>1000</formula>
      <formula>999999</formula>
    </cfRule>
    <cfRule type="cellIs" dxfId="26" priority="5" operator="between">
      <formula>1000000</formula>
      <formula>999999999</formula>
    </cfRule>
    <cfRule type="cellIs" dxfId="25" priority="6" operator="between">
      <formula>1000000000</formula>
      <formula>999999999999</formula>
    </cfRule>
  </conditionalFormatting>
  <conditionalFormatting sqref="W5:W15">
    <cfRule type="cellIs" dxfId="24" priority="1" operator="between">
      <formula>1000</formula>
      <formula>999999</formula>
    </cfRule>
    <cfRule type="cellIs" dxfId="23" priority="2" operator="between">
      <formula>1000000</formula>
      <formula>999999999</formula>
    </cfRule>
    <cfRule type="cellIs" dxfId="22" priority="3" operator="between">
      <formula>1000000000</formula>
      <formula>999999999999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97AE-5365-194C-B6B5-74FD8F9AC274}">
  <sheetPr codeName="Sheet11">
    <tabColor rgb="FF00B050"/>
  </sheetPr>
  <dimension ref="A1:T23"/>
  <sheetViews>
    <sheetView zoomScale="197" zoomScaleNormal="197" workbookViewId="0">
      <selection activeCell="A4" sqref="A4:XFD13"/>
    </sheetView>
  </sheetViews>
  <sheetFormatPr baseColWidth="10" defaultRowHeight="19" x14ac:dyDescent="0.25"/>
  <cols>
    <col min="2" max="2" width="17.42578125" customWidth="1"/>
    <col min="3" max="3" width="11.28515625" bestFit="1" customWidth="1"/>
    <col min="4" max="4" width="8" bestFit="1" customWidth="1"/>
    <col min="5" max="5" width="8.85546875" bestFit="1" customWidth="1"/>
    <col min="6" max="6" width="13.7109375" customWidth="1"/>
    <col min="7" max="7" width="12" bestFit="1" customWidth="1"/>
    <col min="8" max="8" width="16.28515625" bestFit="1" customWidth="1"/>
  </cols>
  <sheetData>
    <row r="1" spans="1:20" x14ac:dyDescent="0.25">
      <c r="A1" s="27"/>
      <c r="B1" s="27"/>
      <c r="C1" s="27"/>
      <c r="D1" s="27"/>
      <c r="E1" s="27"/>
      <c r="F1" s="27"/>
      <c r="G1" s="27"/>
      <c r="H1" s="27"/>
      <c r="I1" s="27"/>
      <c r="J1" s="27"/>
      <c r="K1" s="27"/>
      <c r="L1" s="27"/>
      <c r="M1" s="27"/>
      <c r="N1" s="27"/>
      <c r="O1" s="27"/>
      <c r="P1" s="27"/>
      <c r="Q1" s="27"/>
      <c r="R1" s="27"/>
      <c r="S1" s="27"/>
      <c r="T1" s="27"/>
    </row>
    <row r="2" spans="1:20" ht="29" x14ac:dyDescent="0.25">
      <c r="A2" s="27"/>
      <c r="B2" s="61" t="s">
        <v>210</v>
      </c>
      <c r="C2" s="61"/>
      <c r="D2" s="61"/>
      <c r="E2" s="61"/>
      <c r="F2" s="27"/>
      <c r="G2" s="27"/>
      <c r="H2" s="27"/>
      <c r="I2" s="27"/>
      <c r="J2" s="27"/>
      <c r="K2" s="27"/>
      <c r="L2" s="27"/>
      <c r="M2" s="27"/>
      <c r="N2" s="27"/>
      <c r="O2" s="27"/>
      <c r="P2" s="27"/>
      <c r="Q2" s="27"/>
      <c r="R2" s="27"/>
      <c r="S2" s="27"/>
      <c r="T2" s="27"/>
    </row>
    <row r="3" spans="1:20" ht="80" x14ac:dyDescent="0.25">
      <c r="A3" s="27"/>
      <c r="B3" s="27"/>
      <c r="C3" s="26" t="s">
        <v>247</v>
      </c>
      <c r="D3" s="26" t="s">
        <v>217</v>
      </c>
      <c r="E3" s="26" t="s">
        <v>218</v>
      </c>
      <c r="F3" s="26" t="s">
        <v>219</v>
      </c>
      <c r="G3" s="26" t="s">
        <v>225</v>
      </c>
      <c r="H3" s="32" t="s">
        <v>226</v>
      </c>
      <c r="I3" s="26" t="s">
        <v>223</v>
      </c>
      <c r="J3" s="26" t="s">
        <v>224</v>
      </c>
      <c r="K3" s="27"/>
      <c r="L3" s="27"/>
      <c r="M3" s="27"/>
      <c r="N3" s="27"/>
      <c r="O3" s="27"/>
      <c r="P3" s="27"/>
      <c r="Q3" s="27"/>
      <c r="R3" s="27"/>
      <c r="S3" s="27"/>
      <c r="T3" s="27"/>
    </row>
    <row r="4" spans="1:20" ht="20" x14ac:dyDescent="0.25">
      <c r="A4" s="27"/>
      <c r="B4" s="26" t="s">
        <v>211</v>
      </c>
      <c r="C4">
        <v>0</v>
      </c>
      <c r="D4">
        <v>0</v>
      </c>
      <c r="E4">
        <v>0</v>
      </c>
      <c r="F4">
        <v>0</v>
      </c>
      <c r="G4">
        <v>0</v>
      </c>
      <c r="H4">
        <v>0</v>
      </c>
      <c r="I4">
        <v>0</v>
      </c>
      <c r="J4">
        <v>0</v>
      </c>
      <c r="K4" s="27"/>
      <c r="L4" s="27"/>
      <c r="M4" s="27"/>
      <c r="N4" s="27"/>
      <c r="O4" s="27"/>
      <c r="P4" s="27"/>
      <c r="Q4" s="27"/>
      <c r="R4" s="27"/>
      <c r="S4" s="27"/>
      <c r="T4" s="27"/>
    </row>
    <row r="5" spans="1:20" ht="20" x14ac:dyDescent="0.25">
      <c r="A5" s="27"/>
      <c r="B5" s="26" t="s">
        <v>212</v>
      </c>
      <c r="K5" s="27"/>
      <c r="L5" s="27"/>
      <c r="M5" s="27"/>
      <c r="N5" s="27"/>
      <c r="O5" s="27"/>
      <c r="P5" s="27"/>
      <c r="Q5" s="27"/>
      <c r="R5" s="27"/>
      <c r="S5" s="27"/>
      <c r="T5" s="27"/>
    </row>
    <row r="6" spans="1:20" ht="20" x14ac:dyDescent="0.25">
      <c r="A6" s="27"/>
      <c r="B6" s="26" t="s">
        <v>213</v>
      </c>
      <c r="K6" s="27"/>
      <c r="L6" s="27"/>
      <c r="M6" s="27"/>
      <c r="N6" s="27"/>
      <c r="O6" s="27"/>
      <c r="P6" s="27"/>
      <c r="Q6" s="27"/>
      <c r="R6" s="27"/>
      <c r="S6" s="27"/>
      <c r="T6" s="27"/>
    </row>
    <row r="7" spans="1:20" ht="20" x14ac:dyDescent="0.25">
      <c r="A7" s="27"/>
      <c r="B7" s="26" t="s">
        <v>214</v>
      </c>
      <c r="C7">
        <v>0</v>
      </c>
      <c r="D7">
        <v>0</v>
      </c>
      <c r="E7">
        <v>0</v>
      </c>
      <c r="F7">
        <v>0</v>
      </c>
      <c r="G7">
        <v>0</v>
      </c>
      <c r="H7">
        <v>0</v>
      </c>
      <c r="I7">
        <v>0</v>
      </c>
      <c r="J7">
        <v>0</v>
      </c>
      <c r="K7" s="27"/>
      <c r="L7" s="27"/>
      <c r="M7" s="27"/>
      <c r="N7" s="27"/>
      <c r="O7" s="27"/>
      <c r="P7" s="27"/>
      <c r="Q7" s="27"/>
      <c r="R7" s="27"/>
      <c r="S7" s="27"/>
      <c r="T7" s="27"/>
    </row>
    <row r="8" spans="1:20" ht="20" x14ac:dyDescent="0.25">
      <c r="A8" s="27"/>
      <c r="B8" s="26" t="s">
        <v>215</v>
      </c>
      <c r="K8" s="27"/>
      <c r="L8" s="27"/>
      <c r="M8" s="27"/>
      <c r="N8" s="27"/>
      <c r="O8" s="27"/>
      <c r="P8" s="27"/>
      <c r="Q8" s="27"/>
      <c r="R8" s="27"/>
      <c r="S8" s="27"/>
      <c r="T8" s="27"/>
    </row>
    <row r="9" spans="1:20" ht="40" x14ac:dyDescent="0.25">
      <c r="A9" s="27"/>
      <c r="B9" s="26" t="s">
        <v>216</v>
      </c>
      <c r="K9" s="27"/>
      <c r="L9" s="27"/>
      <c r="M9" s="27"/>
      <c r="N9" s="27"/>
      <c r="O9" s="27"/>
      <c r="P9" s="27"/>
      <c r="Q9" s="27"/>
      <c r="R9" s="27"/>
      <c r="S9" s="27"/>
      <c r="T9" s="27"/>
    </row>
    <row r="10" spans="1:20" ht="20" x14ac:dyDescent="0.25">
      <c r="A10" s="27"/>
      <c r="B10" s="26" t="s">
        <v>69</v>
      </c>
      <c r="K10" s="27"/>
      <c r="L10" s="27"/>
      <c r="M10" s="27"/>
      <c r="N10" s="27"/>
      <c r="O10" s="27"/>
      <c r="P10" s="27"/>
      <c r="Q10" s="27"/>
      <c r="R10" s="27"/>
      <c r="S10" s="27"/>
      <c r="T10" s="27"/>
    </row>
    <row r="11" spans="1:20" ht="20" x14ac:dyDescent="0.25">
      <c r="A11" s="27"/>
      <c r="B11" s="26" t="s">
        <v>220</v>
      </c>
      <c r="K11" s="27"/>
      <c r="L11" s="27"/>
      <c r="M11" s="27"/>
      <c r="N11" s="27"/>
      <c r="O11" s="27"/>
      <c r="P11" s="27"/>
      <c r="Q11" s="27"/>
      <c r="R11" s="27"/>
      <c r="S11" s="27"/>
      <c r="T11" s="27"/>
    </row>
    <row r="12" spans="1:20" ht="20" x14ac:dyDescent="0.25">
      <c r="A12" s="27"/>
      <c r="B12" s="26" t="s">
        <v>221</v>
      </c>
      <c r="K12" s="27"/>
      <c r="L12" s="27"/>
      <c r="M12" s="27"/>
      <c r="N12" s="27"/>
      <c r="O12" s="27"/>
      <c r="P12" s="27"/>
      <c r="Q12" s="27"/>
      <c r="R12" s="27"/>
      <c r="S12" s="27"/>
      <c r="T12" s="27"/>
    </row>
    <row r="13" spans="1:20" ht="40" x14ac:dyDescent="0.25">
      <c r="A13" s="27"/>
      <c r="B13" s="26" t="s">
        <v>222</v>
      </c>
      <c r="K13" s="27"/>
      <c r="L13" s="27"/>
      <c r="M13" s="27"/>
      <c r="N13" s="27"/>
      <c r="O13" s="27"/>
      <c r="P13" s="27"/>
      <c r="Q13" s="27"/>
      <c r="R13" s="27"/>
      <c r="S13" s="27"/>
      <c r="T13" s="27"/>
    </row>
    <row r="14" spans="1:20" ht="20" x14ac:dyDescent="0.25">
      <c r="A14" s="27"/>
      <c r="B14" s="22" t="s">
        <v>248</v>
      </c>
      <c r="C14" s="33"/>
      <c r="D14" s="33"/>
      <c r="E14" s="33"/>
      <c r="F14" s="33"/>
      <c r="G14" s="33"/>
      <c r="H14" t="s">
        <v>72</v>
      </c>
      <c r="I14" s="33"/>
      <c r="J14" s="33"/>
      <c r="K14" s="27"/>
      <c r="L14" s="27"/>
      <c r="M14" s="27"/>
      <c r="N14" s="27"/>
      <c r="O14" s="27"/>
      <c r="P14" s="27"/>
      <c r="Q14" s="27"/>
      <c r="R14" s="27"/>
      <c r="S14" s="27"/>
      <c r="T14" s="27"/>
    </row>
    <row r="15" spans="1:20" x14ac:dyDescent="0.25">
      <c r="A15" s="27"/>
      <c r="B15" s="27"/>
      <c r="C15" s="27"/>
      <c r="D15" s="27"/>
      <c r="E15" s="27"/>
      <c r="F15" s="27"/>
      <c r="G15" s="27"/>
      <c r="H15" s="27"/>
      <c r="I15" s="27"/>
      <c r="J15" s="27"/>
      <c r="K15" s="27"/>
      <c r="L15" s="27"/>
      <c r="M15" s="27"/>
      <c r="N15" s="27"/>
      <c r="O15" s="27"/>
      <c r="P15" s="27"/>
      <c r="Q15" s="27"/>
      <c r="R15" s="27"/>
      <c r="S15" s="27"/>
      <c r="T15" s="27"/>
    </row>
    <row r="16" spans="1:20" x14ac:dyDescent="0.25">
      <c r="A16" s="27"/>
      <c r="B16" s="27"/>
      <c r="C16" s="27"/>
      <c r="D16" s="27"/>
      <c r="E16" s="27"/>
      <c r="F16" s="27"/>
      <c r="G16" s="27"/>
      <c r="H16" s="27"/>
      <c r="I16" s="27"/>
      <c r="J16" s="27"/>
      <c r="K16" s="27"/>
      <c r="L16" s="27"/>
      <c r="M16" s="27"/>
      <c r="N16" s="27"/>
      <c r="O16" s="27"/>
      <c r="P16" s="27"/>
      <c r="Q16" s="27"/>
      <c r="R16" s="27"/>
      <c r="S16" s="27"/>
      <c r="T16" s="27"/>
    </row>
    <row r="17" spans="1:20" x14ac:dyDescent="0.25">
      <c r="A17" s="27"/>
      <c r="B17" s="27"/>
      <c r="C17" s="27"/>
      <c r="D17" s="27"/>
      <c r="E17" s="27"/>
      <c r="F17" s="27"/>
      <c r="G17" s="27"/>
      <c r="H17" s="27"/>
      <c r="I17" s="27"/>
      <c r="J17" s="27"/>
      <c r="K17" s="27"/>
      <c r="L17" s="27"/>
      <c r="M17" s="27"/>
      <c r="N17" s="27"/>
      <c r="O17" s="27"/>
      <c r="P17" s="27"/>
      <c r="Q17" s="27"/>
      <c r="R17" s="27"/>
      <c r="S17" s="27"/>
      <c r="T17" s="27"/>
    </row>
    <row r="18" spans="1:20" x14ac:dyDescent="0.25">
      <c r="A18" s="27"/>
      <c r="B18" s="27"/>
      <c r="C18" s="27"/>
      <c r="D18" s="27"/>
      <c r="E18" s="27"/>
      <c r="F18" s="27"/>
      <c r="G18" s="27"/>
      <c r="H18" s="27"/>
      <c r="I18" s="27"/>
      <c r="J18" s="27"/>
      <c r="K18" s="27"/>
      <c r="L18" s="27"/>
      <c r="M18" s="27"/>
      <c r="N18" s="27"/>
      <c r="O18" s="27"/>
      <c r="P18" s="27"/>
      <c r="Q18" s="27"/>
      <c r="R18" s="27"/>
      <c r="S18" s="27"/>
      <c r="T18" s="27"/>
    </row>
    <row r="19" spans="1:20" x14ac:dyDescent="0.25">
      <c r="A19" s="27"/>
      <c r="B19" s="27"/>
      <c r="C19" s="27"/>
      <c r="D19" s="27"/>
      <c r="E19" s="27"/>
      <c r="F19" s="27"/>
      <c r="G19" s="27"/>
      <c r="H19" s="27"/>
      <c r="I19" s="27"/>
      <c r="J19" s="27"/>
      <c r="K19" s="27"/>
      <c r="L19" s="27"/>
      <c r="M19" s="27"/>
      <c r="N19" s="27"/>
      <c r="O19" s="27"/>
      <c r="P19" s="27"/>
      <c r="Q19" s="27"/>
      <c r="R19" s="27"/>
      <c r="S19" s="27"/>
      <c r="T19" s="27"/>
    </row>
    <row r="20" spans="1:20" x14ac:dyDescent="0.25">
      <c r="A20" s="27"/>
      <c r="B20" s="27"/>
      <c r="C20" s="27"/>
      <c r="D20" s="27"/>
      <c r="E20" s="27"/>
      <c r="F20" s="27"/>
      <c r="G20" s="27"/>
      <c r="H20" s="27"/>
      <c r="I20" s="27"/>
      <c r="J20" s="27"/>
      <c r="K20" s="27"/>
      <c r="L20" s="27"/>
      <c r="M20" s="27"/>
      <c r="N20" s="27"/>
      <c r="O20" s="27"/>
      <c r="P20" s="27"/>
      <c r="Q20" s="27"/>
      <c r="R20" s="27"/>
      <c r="S20" s="27"/>
      <c r="T20" s="27"/>
    </row>
    <row r="21" spans="1:20" x14ac:dyDescent="0.25">
      <c r="A21" s="27"/>
      <c r="B21" s="27"/>
      <c r="C21" s="27"/>
      <c r="D21" s="27"/>
      <c r="E21" s="27"/>
      <c r="F21" s="27"/>
      <c r="G21" s="27"/>
      <c r="H21" s="27"/>
      <c r="I21" s="27"/>
      <c r="J21" s="27"/>
      <c r="K21" s="27"/>
      <c r="L21" s="27"/>
      <c r="M21" s="27"/>
      <c r="N21" s="27"/>
      <c r="O21" s="27"/>
      <c r="P21" s="27"/>
      <c r="Q21" s="27"/>
      <c r="R21" s="27"/>
      <c r="S21" s="27"/>
      <c r="T21" s="27"/>
    </row>
    <row r="22" spans="1:20" x14ac:dyDescent="0.25">
      <c r="A22" s="27"/>
      <c r="B22" s="27"/>
      <c r="C22" s="27"/>
      <c r="D22" s="27"/>
      <c r="E22" s="27"/>
      <c r="F22" s="27"/>
      <c r="G22" s="27"/>
      <c r="H22" s="27"/>
      <c r="I22" s="27"/>
      <c r="J22" s="27"/>
      <c r="K22" s="27"/>
      <c r="L22" s="27"/>
      <c r="M22" s="27"/>
      <c r="N22" s="27"/>
      <c r="O22" s="27"/>
      <c r="P22" s="27"/>
      <c r="Q22" s="27"/>
      <c r="R22" s="27"/>
      <c r="S22" s="27"/>
      <c r="T22" s="27"/>
    </row>
    <row r="23" spans="1:20" x14ac:dyDescent="0.25">
      <c r="A23" s="27"/>
      <c r="B23" s="27"/>
      <c r="C23" s="27"/>
      <c r="D23" s="27"/>
      <c r="E23" s="27"/>
      <c r="F23" s="27"/>
      <c r="G23" s="27"/>
      <c r="H23" s="27"/>
      <c r="I23" s="27"/>
      <c r="J23" s="27"/>
      <c r="K23" s="27"/>
      <c r="L23" s="27"/>
      <c r="M23" s="27"/>
      <c r="N23" s="27"/>
      <c r="O23" s="27"/>
      <c r="P23" s="27"/>
      <c r="Q23" s="27"/>
      <c r="R23" s="27"/>
      <c r="S23" s="27"/>
      <c r="T23" s="27"/>
    </row>
  </sheetData>
  <mergeCells count="1">
    <mergeCell ref="B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B06C26-2AD7-644F-A598-DB1FFBDAD6E2}">
          <x14:formula1>
            <xm:f>'Lookups Clarity'!$A$33:$A$35</xm:f>
          </x14:formula1>
          <xm:sqref>H14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782A-6A43-BB43-B3ED-7D5332D2B903}">
  <sheetPr codeName="Sheet9">
    <tabColor rgb="FF00B050"/>
  </sheetPr>
  <dimension ref="A1"/>
  <sheetViews>
    <sheetView workbookViewId="0">
      <selection activeCell="D17" sqref="D17"/>
    </sheetView>
  </sheetViews>
  <sheetFormatPr baseColWidth="10" defaultRowHeight="19"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CD59-A699-FC4D-B008-9F0A74B1ED8E}">
  <sheetPr codeName="Sheet8">
    <tabColor theme="0" tint="-0.14999847407452621"/>
  </sheetPr>
  <dimension ref="A1:U23"/>
  <sheetViews>
    <sheetView zoomScale="186" zoomScaleNormal="186" workbookViewId="0">
      <selection activeCell="A16" sqref="A16:XFD19"/>
    </sheetView>
  </sheetViews>
  <sheetFormatPr baseColWidth="10" defaultColWidth="17" defaultRowHeight="19" x14ac:dyDescent="0.25"/>
  <cols>
    <col min="2" max="2" width="19.140625" customWidth="1"/>
    <col min="3" max="3" width="11" bestFit="1" customWidth="1"/>
    <col min="4" max="4" width="8" bestFit="1" customWidth="1"/>
    <col min="5" max="5" width="11.5703125" bestFit="1" customWidth="1"/>
    <col min="6" max="6" width="9.140625" bestFit="1" customWidth="1"/>
    <col min="7" max="7" width="11.7109375" bestFit="1" customWidth="1"/>
    <col min="8" max="8" width="12.7109375" bestFit="1" customWidth="1"/>
    <col min="9" max="9" width="15.5703125" bestFit="1" customWidth="1"/>
    <col min="10" max="10" width="13.7109375" bestFit="1" customWidth="1"/>
    <col min="11" max="11" width="14.7109375" bestFit="1" customWidth="1"/>
    <col min="12" max="12" width="14.5703125" bestFit="1" customWidth="1"/>
    <col min="13" max="13" width="12.42578125" bestFit="1" customWidth="1"/>
    <col min="14" max="14" width="16.85546875" bestFit="1" customWidth="1"/>
    <col min="15" max="15" width="16.140625" bestFit="1" customWidth="1"/>
  </cols>
  <sheetData>
    <row r="1" spans="1:21" x14ac:dyDescent="0.25">
      <c r="A1" s="25"/>
      <c r="B1" s="25"/>
      <c r="C1" s="25"/>
      <c r="D1" s="25"/>
      <c r="E1" s="25"/>
      <c r="F1" s="25"/>
      <c r="G1" s="25"/>
      <c r="H1" s="25"/>
      <c r="I1" s="25"/>
      <c r="J1" s="25"/>
      <c r="K1" s="25"/>
      <c r="L1" s="25"/>
      <c r="M1" s="25"/>
      <c r="N1" s="25"/>
      <c r="O1" s="25"/>
      <c r="P1" s="25"/>
      <c r="Q1" s="25"/>
      <c r="R1" s="25"/>
      <c r="S1" s="25"/>
      <c r="T1" s="25"/>
      <c r="U1" s="28"/>
    </row>
    <row r="2" spans="1:21" x14ac:dyDescent="0.25">
      <c r="A2" s="25"/>
      <c r="B2" s="62" t="s">
        <v>227</v>
      </c>
      <c r="C2" s="62"/>
      <c r="D2" s="62"/>
      <c r="E2" s="62"/>
      <c r="F2" s="62"/>
      <c r="G2" s="62"/>
      <c r="H2" s="25"/>
      <c r="I2" s="25"/>
      <c r="J2" s="25"/>
      <c r="K2" s="25"/>
      <c r="L2" s="25"/>
      <c r="M2" s="25"/>
      <c r="N2" s="25"/>
      <c r="O2" s="25"/>
      <c r="P2" s="25"/>
      <c r="Q2" s="25"/>
      <c r="R2" s="25"/>
      <c r="S2" s="25"/>
      <c r="T2" s="25"/>
      <c r="U2" s="28"/>
    </row>
    <row r="3" spans="1:21" x14ac:dyDescent="0.25">
      <c r="A3" s="25"/>
      <c r="B3" s="25"/>
      <c r="C3" s="25"/>
      <c r="D3" s="25"/>
      <c r="E3" s="25"/>
      <c r="F3" s="25"/>
      <c r="G3" s="25"/>
      <c r="H3" s="25"/>
      <c r="I3" s="25"/>
      <c r="J3" s="25"/>
      <c r="K3" s="25"/>
      <c r="L3" s="25"/>
      <c r="M3" s="25"/>
      <c r="N3" s="25"/>
      <c r="O3" s="25"/>
      <c r="P3" s="25"/>
      <c r="Q3" s="25"/>
      <c r="R3" s="25"/>
      <c r="S3" s="25"/>
      <c r="T3" s="25"/>
      <c r="U3" s="28"/>
    </row>
    <row r="4" spans="1:21" x14ac:dyDescent="0.25">
      <c r="A4" s="25"/>
      <c r="B4" s="25"/>
      <c r="C4" s="25"/>
      <c r="D4" s="25"/>
      <c r="E4" s="25"/>
      <c r="F4" s="25"/>
      <c r="G4" s="25"/>
      <c r="H4" s="25"/>
      <c r="I4" s="25"/>
      <c r="J4" s="25"/>
      <c r="K4" s="25"/>
      <c r="L4" s="25"/>
      <c r="M4" s="25"/>
      <c r="N4" s="25"/>
      <c r="O4" s="25"/>
      <c r="P4" s="25"/>
      <c r="Q4" s="25"/>
      <c r="R4" s="25"/>
      <c r="S4" s="25"/>
      <c r="T4" s="25"/>
      <c r="U4" s="28"/>
    </row>
    <row r="5" spans="1:21" ht="40" x14ac:dyDescent="0.25">
      <c r="A5" s="25"/>
      <c r="B5" s="26"/>
      <c r="C5" s="26" t="s">
        <v>211</v>
      </c>
      <c r="D5" s="26" t="s">
        <v>212</v>
      </c>
      <c r="E5" s="26" t="s">
        <v>213</v>
      </c>
      <c r="F5" s="26" t="s">
        <v>214</v>
      </c>
      <c r="G5" s="26" t="s">
        <v>215</v>
      </c>
      <c r="H5" s="26" t="s">
        <v>216</v>
      </c>
      <c r="I5" s="26" t="s">
        <v>69</v>
      </c>
      <c r="J5" s="26" t="s">
        <v>220</v>
      </c>
      <c r="K5" s="26" t="s">
        <v>221</v>
      </c>
      <c r="L5" s="26" t="s">
        <v>222</v>
      </c>
      <c r="M5" s="26" t="s">
        <v>233</v>
      </c>
      <c r="N5" s="26" t="s">
        <v>234</v>
      </c>
      <c r="O5" s="26" t="s">
        <v>235</v>
      </c>
      <c r="P5" s="25"/>
      <c r="Q5" s="25"/>
      <c r="R5" s="25"/>
      <c r="S5" s="25"/>
      <c r="T5" s="25"/>
    </row>
    <row r="6" spans="1:21" ht="20" x14ac:dyDescent="0.25">
      <c r="A6" s="25"/>
      <c r="B6" s="31" t="s">
        <v>241</v>
      </c>
      <c r="M6" t="s">
        <v>243</v>
      </c>
      <c r="P6" s="25"/>
      <c r="Q6" s="25"/>
      <c r="R6" s="25"/>
      <c r="S6" s="25"/>
      <c r="T6" s="25"/>
    </row>
    <row r="7" spans="1:21" ht="20" x14ac:dyDescent="0.25">
      <c r="A7" s="25"/>
      <c r="B7" s="31" t="s">
        <v>244</v>
      </c>
      <c r="D7" t="s">
        <v>232</v>
      </c>
      <c r="E7" t="s">
        <v>232</v>
      </c>
      <c r="I7" t="s">
        <v>232</v>
      </c>
      <c r="J7" t="s">
        <v>232</v>
      </c>
      <c r="P7" s="25"/>
      <c r="Q7" s="25"/>
      <c r="R7" s="25"/>
      <c r="S7" s="25"/>
      <c r="T7" s="25"/>
    </row>
    <row r="8" spans="1:21" ht="20" x14ac:dyDescent="0.25">
      <c r="A8" s="25"/>
      <c r="B8" s="31" t="s">
        <v>245</v>
      </c>
      <c r="D8" t="s">
        <v>232</v>
      </c>
      <c r="E8" t="s">
        <v>232</v>
      </c>
      <c r="I8" t="s">
        <v>232</v>
      </c>
      <c r="J8" t="s">
        <v>232</v>
      </c>
      <c r="K8" t="s">
        <v>232</v>
      </c>
      <c r="P8" s="25"/>
      <c r="Q8" s="25"/>
      <c r="R8" s="25"/>
      <c r="S8" s="25"/>
      <c r="T8" s="25"/>
    </row>
    <row r="9" spans="1:21" ht="20" x14ac:dyDescent="0.25">
      <c r="A9" s="25"/>
      <c r="B9" s="31" t="s">
        <v>228</v>
      </c>
      <c r="D9" t="s">
        <v>232</v>
      </c>
      <c r="E9" t="s">
        <v>232</v>
      </c>
      <c r="H9" t="s">
        <v>232</v>
      </c>
      <c r="I9" t="s">
        <v>232</v>
      </c>
      <c r="J9" t="s">
        <v>232</v>
      </c>
      <c r="L9" t="s">
        <v>232</v>
      </c>
      <c r="P9" s="25"/>
      <c r="Q9" s="25"/>
      <c r="R9" s="25"/>
      <c r="S9" s="25"/>
      <c r="T9" s="25"/>
    </row>
    <row r="10" spans="1:21" ht="20" x14ac:dyDescent="0.25">
      <c r="A10" s="25"/>
      <c r="B10" s="31" t="s">
        <v>229</v>
      </c>
      <c r="D10" t="s">
        <v>232</v>
      </c>
      <c r="E10" t="s">
        <v>232</v>
      </c>
      <c r="H10" t="s">
        <v>232</v>
      </c>
      <c r="I10" t="s">
        <v>232</v>
      </c>
      <c r="J10" t="s">
        <v>232</v>
      </c>
      <c r="L10" t="s">
        <v>232</v>
      </c>
      <c r="M10" t="s">
        <v>232</v>
      </c>
      <c r="P10" s="25"/>
      <c r="Q10" s="25"/>
      <c r="R10" s="25"/>
      <c r="S10" s="25"/>
      <c r="T10" s="25"/>
    </row>
    <row r="11" spans="1:21" ht="20" x14ac:dyDescent="0.25">
      <c r="A11" s="25"/>
      <c r="B11" s="31" t="s">
        <v>230</v>
      </c>
      <c r="D11" t="s">
        <v>232</v>
      </c>
      <c r="E11" t="s">
        <v>232</v>
      </c>
      <c r="H11" t="s">
        <v>232</v>
      </c>
      <c r="I11" t="s">
        <v>232</v>
      </c>
      <c r="J11" t="s">
        <v>232</v>
      </c>
      <c r="L11" t="s">
        <v>232</v>
      </c>
      <c r="M11" t="s">
        <v>232</v>
      </c>
      <c r="P11" s="25"/>
      <c r="Q11" s="25"/>
      <c r="R11" s="25"/>
      <c r="S11" s="25"/>
      <c r="T11" s="25"/>
    </row>
    <row r="12" spans="1:21" ht="20" x14ac:dyDescent="0.25">
      <c r="A12" s="25"/>
      <c r="B12" s="31" t="s">
        <v>242</v>
      </c>
      <c r="H12" t="s">
        <v>243</v>
      </c>
      <c r="P12" s="25"/>
      <c r="Q12" s="25"/>
      <c r="R12" s="25"/>
      <c r="S12" s="25"/>
      <c r="T12" s="25"/>
    </row>
    <row r="13" spans="1:21" ht="20" x14ac:dyDescent="0.25">
      <c r="A13" s="25"/>
      <c r="B13" s="31" t="s">
        <v>231</v>
      </c>
      <c r="D13" t="s">
        <v>232</v>
      </c>
      <c r="E13" t="s">
        <v>232</v>
      </c>
      <c r="I13" t="s">
        <v>232</v>
      </c>
      <c r="J13" t="s">
        <v>232</v>
      </c>
      <c r="P13" s="25"/>
      <c r="Q13" s="25"/>
      <c r="R13" s="25"/>
      <c r="S13" s="25"/>
      <c r="T13" s="25"/>
    </row>
    <row r="14" spans="1:21" ht="20" x14ac:dyDescent="0.25">
      <c r="A14" s="25"/>
      <c r="B14" s="31" t="s">
        <v>246</v>
      </c>
      <c r="D14" t="s">
        <v>232</v>
      </c>
      <c r="E14" t="s">
        <v>232</v>
      </c>
      <c r="I14" t="s">
        <v>232</v>
      </c>
      <c r="J14" t="s">
        <v>232</v>
      </c>
      <c r="K14" t="s">
        <v>232</v>
      </c>
      <c r="N14" t="s">
        <v>232</v>
      </c>
      <c r="P14" s="25"/>
      <c r="Q14" s="25"/>
      <c r="R14" s="25"/>
      <c r="S14" s="25"/>
      <c r="T14" s="25"/>
    </row>
    <row r="15" spans="1:21" ht="20" x14ac:dyDescent="0.25">
      <c r="A15" s="25"/>
      <c r="B15" s="31" t="s">
        <v>236</v>
      </c>
      <c r="D15" t="s">
        <v>232</v>
      </c>
      <c r="E15" t="s">
        <v>232</v>
      </c>
      <c r="P15" s="25"/>
      <c r="Q15" s="25"/>
      <c r="R15" s="25"/>
      <c r="S15" s="25"/>
      <c r="T15" s="25"/>
    </row>
    <row r="16" spans="1:21" ht="20" x14ac:dyDescent="0.25">
      <c r="A16" s="25"/>
      <c r="B16" s="31" t="s">
        <v>237</v>
      </c>
      <c r="P16" s="25"/>
      <c r="Q16" s="25"/>
      <c r="R16" s="25"/>
      <c r="S16" s="25"/>
      <c r="T16" s="25"/>
    </row>
    <row r="17" spans="1:20" ht="20" x14ac:dyDescent="0.25">
      <c r="A17" s="25"/>
      <c r="B17" s="31" t="s">
        <v>238</v>
      </c>
      <c r="P17" s="25"/>
      <c r="Q17" s="25"/>
      <c r="R17" s="25"/>
      <c r="S17" s="25"/>
      <c r="T17" s="25"/>
    </row>
    <row r="18" spans="1:20" ht="20" x14ac:dyDescent="0.25">
      <c r="A18" s="25"/>
      <c r="B18" s="31" t="s">
        <v>239</v>
      </c>
      <c r="P18" s="25"/>
      <c r="Q18" s="25"/>
      <c r="R18" s="25"/>
      <c r="S18" s="25"/>
      <c r="T18" s="25"/>
    </row>
    <row r="19" spans="1:20" ht="20" x14ac:dyDescent="0.25">
      <c r="A19" s="25"/>
      <c r="B19" s="31" t="s">
        <v>240</v>
      </c>
      <c r="P19" s="25"/>
      <c r="Q19" s="25"/>
      <c r="R19" s="25"/>
      <c r="S19" s="25"/>
      <c r="T19" s="25"/>
    </row>
    <row r="20" spans="1:20" x14ac:dyDescent="0.25">
      <c r="A20" s="25"/>
      <c r="B20" s="25"/>
      <c r="C20" s="25"/>
      <c r="D20" s="25"/>
      <c r="E20" s="25"/>
      <c r="F20" s="25"/>
      <c r="G20" s="25"/>
      <c r="H20" s="25"/>
      <c r="I20" s="25"/>
      <c r="J20" s="25"/>
      <c r="K20" s="25"/>
      <c r="L20" s="25"/>
      <c r="M20" s="25"/>
      <c r="N20" s="25"/>
      <c r="O20" s="25"/>
      <c r="P20" s="25"/>
      <c r="Q20" s="25"/>
      <c r="R20" s="25"/>
      <c r="S20" s="25"/>
      <c r="T20" s="25"/>
    </row>
    <row r="21" spans="1:20" x14ac:dyDescent="0.25">
      <c r="A21" s="25"/>
      <c r="B21" s="25"/>
      <c r="C21" s="25"/>
      <c r="D21" s="25"/>
      <c r="E21" s="25"/>
      <c r="F21" s="25"/>
      <c r="G21" s="25"/>
      <c r="H21" s="25"/>
      <c r="I21" s="25"/>
      <c r="J21" s="25"/>
      <c r="K21" s="25"/>
      <c r="L21" s="25"/>
      <c r="M21" s="25"/>
      <c r="N21" s="25"/>
      <c r="O21" s="25"/>
      <c r="P21" s="25"/>
      <c r="Q21" s="25"/>
      <c r="R21" s="25"/>
      <c r="S21" s="25"/>
      <c r="T21" s="25"/>
    </row>
    <row r="22" spans="1:20" x14ac:dyDescent="0.25">
      <c r="A22" s="25"/>
      <c r="B22" s="25"/>
      <c r="C22" s="25"/>
      <c r="D22" s="25"/>
      <c r="E22" s="25"/>
      <c r="F22" s="25"/>
      <c r="G22" s="25"/>
      <c r="H22" s="25"/>
      <c r="I22" s="25"/>
      <c r="J22" s="25"/>
      <c r="K22" s="25"/>
      <c r="L22" s="25"/>
      <c r="M22" s="25"/>
      <c r="N22" s="25"/>
      <c r="O22" s="25"/>
      <c r="P22" s="25"/>
      <c r="Q22" s="25"/>
      <c r="R22" s="25"/>
      <c r="S22" s="25"/>
      <c r="T22" s="25"/>
    </row>
    <row r="23" spans="1:20" x14ac:dyDescent="0.25">
      <c r="A23" s="25"/>
      <c r="B23" s="25"/>
      <c r="C23" s="25"/>
      <c r="D23" s="25"/>
      <c r="E23" s="25"/>
      <c r="F23" s="25"/>
      <c r="G23" s="25"/>
      <c r="H23" s="25"/>
      <c r="I23" s="25"/>
      <c r="J23" s="25"/>
      <c r="K23" s="25"/>
      <c r="L23" s="25"/>
      <c r="M23" s="25"/>
      <c r="N23" s="25"/>
      <c r="O23" s="25"/>
      <c r="P23" s="25"/>
      <c r="Q23" s="25"/>
      <c r="R23" s="25"/>
      <c r="S23" s="25"/>
      <c r="T23" s="25"/>
    </row>
  </sheetData>
  <sortState xmlns:xlrd2="http://schemas.microsoft.com/office/spreadsheetml/2017/richdata2" ref="B6:O19">
    <sortCondition ref="B6:B19"/>
  </sortState>
  <dataConsolidate/>
  <mergeCells count="1">
    <mergeCell ref="B2: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FD50-C93D-E942-B98C-420E95796033}">
  <sheetPr codeName="Sheet6"/>
  <dimension ref="A1"/>
  <sheetViews>
    <sheetView workbookViewId="0"/>
  </sheetViews>
  <sheetFormatPr baseColWidth="10" defaultRowHeight="19"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1723-67F6-614C-8E5F-EA0D7929A2E8}">
  <sheetPr codeName="Sheet5"/>
  <dimension ref="A1"/>
  <sheetViews>
    <sheetView workbookViewId="0"/>
  </sheetViews>
  <sheetFormatPr baseColWidth="10" defaultRowHeight="19"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F37-785B-FC4F-9109-BE43CE18808E}">
  <sheetPr codeName="Sheet2">
    <tabColor theme="4" tint="0.39997558519241921"/>
  </sheetPr>
  <dimension ref="A1:G69"/>
  <sheetViews>
    <sheetView zoomScaleNormal="100" workbookViewId="0">
      <selection sqref="A1:D1"/>
    </sheetView>
  </sheetViews>
  <sheetFormatPr baseColWidth="10" defaultColWidth="39.7109375" defaultRowHeight="19" x14ac:dyDescent="0.25"/>
  <cols>
    <col min="1" max="1" width="39.7109375" style="65"/>
    <col min="2" max="2" width="73.85546875" style="65" customWidth="1"/>
    <col min="3" max="3" width="60.5703125" style="65" customWidth="1"/>
    <col min="4" max="4" width="67.5703125" style="65" customWidth="1"/>
    <col min="5" max="16384" width="39.7109375" style="65"/>
  </cols>
  <sheetData>
    <row r="1" spans="1:7" ht="34" x14ac:dyDescent="0.4">
      <c r="A1" s="63" t="s">
        <v>144</v>
      </c>
      <c r="B1" s="63"/>
      <c r="C1" s="63"/>
      <c r="D1" s="63"/>
      <c r="E1" s="64"/>
      <c r="F1" s="64"/>
      <c r="G1" s="64"/>
    </row>
    <row r="2" spans="1:7" x14ac:dyDescent="0.25">
      <c r="A2" s="66"/>
      <c r="B2" s="66"/>
      <c r="C2" s="66"/>
      <c r="D2" s="66"/>
      <c r="E2" s="66"/>
      <c r="F2" s="66"/>
      <c r="G2" s="66"/>
    </row>
    <row r="3" spans="1:7" ht="22" x14ac:dyDescent="0.3">
      <c r="A3" s="67"/>
      <c r="B3" s="67"/>
      <c r="C3" s="67"/>
      <c r="D3" s="67"/>
      <c r="E3" s="67"/>
      <c r="F3" s="68"/>
      <c r="G3" s="68"/>
    </row>
    <row r="4" spans="1:7" ht="23" x14ac:dyDescent="0.3">
      <c r="A4" s="69"/>
      <c r="B4" s="69" t="s">
        <v>3</v>
      </c>
      <c r="C4" s="69" t="s">
        <v>4</v>
      </c>
      <c r="D4" s="69" t="s">
        <v>5</v>
      </c>
      <c r="E4" s="68"/>
      <c r="F4" s="68"/>
      <c r="G4" s="68"/>
    </row>
    <row r="5" spans="1:7" ht="22" x14ac:dyDescent="0.3">
      <c r="A5" s="70" t="s">
        <v>6</v>
      </c>
      <c r="B5" s="70" t="s">
        <v>7</v>
      </c>
      <c r="C5" s="71" t="str">
        <f>CLARITY!C10</f>
        <v>Customer Name Here</v>
      </c>
      <c r="D5" s="49"/>
      <c r="E5" s="67"/>
      <c r="F5" s="68"/>
      <c r="G5" s="68"/>
    </row>
    <row r="6" spans="1:7" ht="22" x14ac:dyDescent="0.3">
      <c r="A6" s="70" t="s">
        <v>172</v>
      </c>
      <c r="B6" s="70" t="s">
        <v>173</v>
      </c>
      <c r="C6" s="71" t="str">
        <f>CLARITY!C23</f>
        <v>Canada</v>
      </c>
      <c r="D6" s="49"/>
      <c r="E6" s="67"/>
      <c r="F6" s="68"/>
      <c r="G6" s="68"/>
    </row>
    <row r="7" spans="1:7" ht="22" x14ac:dyDescent="0.3">
      <c r="A7" s="70" t="s">
        <v>278</v>
      </c>
      <c r="B7" s="70" t="s">
        <v>281</v>
      </c>
      <c r="C7" s="71" t="str">
        <f>CLARITY!C24</f>
        <v>NORAM</v>
      </c>
      <c r="D7" s="49"/>
      <c r="E7" s="67"/>
      <c r="F7" s="68"/>
      <c r="G7" s="68"/>
    </row>
    <row r="8" spans="1:7" ht="23" thickBot="1" x14ac:dyDescent="0.35">
      <c r="A8" s="70" t="s">
        <v>175</v>
      </c>
      <c r="B8" s="70" t="s">
        <v>176</v>
      </c>
      <c r="C8" s="71">
        <f>CLARITY!C11</f>
        <v>12345</v>
      </c>
      <c r="D8" s="49"/>
      <c r="E8" s="67"/>
      <c r="F8" s="68"/>
      <c r="G8" s="68"/>
    </row>
    <row r="9" spans="1:7" ht="23" thickBot="1" x14ac:dyDescent="0.35">
      <c r="A9" s="70" t="s">
        <v>146</v>
      </c>
      <c r="B9" s="70"/>
      <c r="C9" s="74"/>
      <c r="D9" s="49"/>
      <c r="E9" s="67"/>
      <c r="F9" s="68"/>
      <c r="G9" s="68"/>
    </row>
    <row r="10" spans="1:7" ht="23" thickBot="1" x14ac:dyDescent="0.35">
      <c r="A10" s="70" t="s">
        <v>149</v>
      </c>
      <c r="B10" s="70"/>
      <c r="C10" s="74"/>
      <c r="D10" s="49"/>
      <c r="E10" s="67"/>
      <c r="F10" s="68"/>
      <c r="G10" s="68"/>
    </row>
    <row r="11" spans="1:7" ht="23" thickBot="1" x14ac:dyDescent="0.35">
      <c r="A11" s="70" t="s">
        <v>177</v>
      </c>
      <c r="B11" s="70" t="s">
        <v>282</v>
      </c>
      <c r="C11" s="74"/>
      <c r="D11" s="49"/>
      <c r="E11" s="67"/>
      <c r="F11" s="68"/>
      <c r="G11" s="68"/>
    </row>
    <row r="12" spans="1:7" ht="23" thickBot="1" x14ac:dyDescent="0.35">
      <c r="A12" s="70" t="s">
        <v>157</v>
      </c>
      <c r="B12" s="70"/>
      <c r="C12" s="74"/>
      <c r="D12" s="49" t="s">
        <v>296</v>
      </c>
      <c r="E12" s="72"/>
      <c r="F12" s="68"/>
      <c r="G12" s="68"/>
    </row>
    <row r="13" spans="1:7" ht="23" thickBot="1" x14ac:dyDescent="0.35">
      <c r="A13" s="70" t="s">
        <v>178</v>
      </c>
      <c r="B13" s="73"/>
      <c r="C13" s="74"/>
      <c r="D13" s="49"/>
      <c r="E13" s="67"/>
      <c r="F13" s="68"/>
      <c r="G13" s="68"/>
    </row>
    <row r="14" spans="1:7" ht="23" thickBot="1" x14ac:dyDescent="0.35">
      <c r="A14" s="70" t="s">
        <v>179</v>
      </c>
      <c r="B14" s="70" t="s">
        <v>287</v>
      </c>
      <c r="C14" s="74"/>
      <c r="D14" s="49" t="s">
        <v>296</v>
      </c>
      <c r="E14" s="67"/>
      <c r="F14" s="68"/>
      <c r="G14" s="68"/>
    </row>
    <row r="15" spans="1:7" ht="23" thickBot="1" x14ac:dyDescent="0.35">
      <c r="A15" s="70" t="s">
        <v>180</v>
      </c>
      <c r="B15" s="70"/>
      <c r="C15" s="74"/>
      <c r="D15" s="49" t="s">
        <v>295</v>
      </c>
      <c r="E15" s="67"/>
      <c r="F15" s="68"/>
      <c r="G15" s="68"/>
    </row>
    <row r="16" spans="1:7" ht="23" thickBot="1" x14ac:dyDescent="0.35">
      <c r="A16" s="70" t="s">
        <v>181</v>
      </c>
      <c r="B16" s="70" t="s">
        <v>182</v>
      </c>
      <c r="C16" s="74"/>
      <c r="D16" s="49"/>
      <c r="E16" s="67"/>
      <c r="F16" s="68"/>
      <c r="G16" s="68"/>
    </row>
    <row r="17" spans="1:7" ht="21" thickBot="1" x14ac:dyDescent="0.3">
      <c r="A17" s="70" t="s">
        <v>185</v>
      </c>
      <c r="B17" s="70" t="s">
        <v>186</v>
      </c>
      <c r="C17" s="74"/>
      <c r="D17" s="49"/>
      <c r="E17" s="67"/>
      <c r="F17" s="67"/>
      <c r="G17" s="67"/>
    </row>
    <row r="18" spans="1:7" ht="21" thickBot="1" x14ac:dyDescent="0.3">
      <c r="A18" s="70" t="s">
        <v>163</v>
      </c>
      <c r="B18" s="70" t="s">
        <v>189</v>
      </c>
      <c r="C18" s="74"/>
      <c r="D18" s="49" t="s">
        <v>296</v>
      </c>
      <c r="E18" s="67"/>
      <c r="F18" s="67"/>
      <c r="G18" s="67"/>
    </row>
    <row r="19" spans="1:7" ht="21" thickBot="1" x14ac:dyDescent="0.3">
      <c r="A19" s="70" t="s">
        <v>190</v>
      </c>
      <c r="B19" s="70" t="s">
        <v>191</v>
      </c>
      <c r="C19" s="74"/>
      <c r="D19" s="49" t="s">
        <v>296</v>
      </c>
      <c r="E19" s="67"/>
      <c r="F19" s="67"/>
      <c r="G19" s="67"/>
    </row>
    <row r="20" spans="1:7" ht="21" thickBot="1" x14ac:dyDescent="0.3">
      <c r="A20" s="70" t="s">
        <v>192</v>
      </c>
      <c r="B20" s="70"/>
      <c r="C20" s="74"/>
      <c r="D20" s="49" t="s">
        <v>297</v>
      </c>
      <c r="E20" s="67"/>
      <c r="F20" s="67"/>
      <c r="G20" s="67"/>
    </row>
    <row r="21" spans="1:7" ht="21" thickBot="1" x14ac:dyDescent="0.3">
      <c r="A21" s="70" t="s">
        <v>193</v>
      </c>
      <c r="B21" s="70"/>
      <c r="C21" s="74"/>
      <c r="D21" s="49" t="s">
        <v>297</v>
      </c>
      <c r="E21" s="67"/>
      <c r="F21" s="67"/>
      <c r="G21" s="67"/>
    </row>
    <row r="22" spans="1:7" x14ac:dyDescent="0.25">
      <c r="A22" s="67"/>
      <c r="B22" s="67"/>
      <c r="C22" s="67"/>
      <c r="D22" s="67"/>
      <c r="E22" s="67"/>
      <c r="F22" s="67"/>
      <c r="G22" s="67"/>
    </row>
    <row r="23" spans="1:7" x14ac:dyDescent="0.25">
      <c r="A23" s="67"/>
      <c r="B23" s="67"/>
      <c r="C23" s="67"/>
      <c r="D23" s="67"/>
      <c r="E23" s="67"/>
      <c r="F23" s="67"/>
      <c r="G23" s="67"/>
    </row>
    <row r="24" spans="1:7" x14ac:dyDescent="0.25">
      <c r="A24" s="67"/>
      <c r="B24" s="67"/>
      <c r="C24" s="67"/>
      <c r="D24" s="67"/>
      <c r="E24" s="67"/>
      <c r="F24" s="67"/>
      <c r="G24" s="67"/>
    </row>
    <row r="25" spans="1:7" ht="24" thickBot="1" x14ac:dyDescent="0.3">
      <c r="A25" s="69" t="s">
        <v>298</v>
      </c>
      <c r="B25" s="69"/>
      <c r="C25" s="69"/>
      <c r="D25" s="67"/>
      <c r="E25" s="67"/>
      <c r="F25" s="67"/>
      <c r="G25" s="67"/>
    </row>
    <row r="26" spans="1:7" ht="21" thickBot="1" x14ac:dyDescent="0.3">
      <c r="A26" s="70" t="s">
        <v>299</v>
      </c>
      <c r="B26" s="70" t="s">
        <v>301</v>
      </c>
      <c r="C26" s="74"/>
      <c r="D26" s="67"/>
      <c r="E26" s="67"/>
      <c r="F26" s="67"/>
      <c r="G26" s="67"/>
    </row>
    <row r="27" spans="1:7" ht="21" thickBot="1" x14ac:dyDescent="0.3">
      <c r="A27" s="70" t="s">
        <v>300</v>
      </c>
      <c r="B27" s="70" t="s">
        <v>302</v>
      </c>
      <c r="C27" s="74"/>
      <c r="D27" s="67"/>
      <c r="E27" s="67"/>
      <c r="F27" s="67"/>
      <c r="G27" s="67"/>
    </row>
    <row r="28" spans="1:7" ht="21" thickBot="1" x14ac:dyDescent="0.3">
      <c r="A28" s="70" t="s">
        <v>303</v>
      </c>
      <c r="B28" s="70" t="s">
        <v>308</v>
      </c>
      <c r="C28" s="74"/>
      <c r="D28" s="67"/>
      <c r="E28" s="67"/>
      <c r="F28" s="67"/>
      <c r="G28" s="67"/>
    </row>
    <row r="29" spans="1:7" ht="21" thickBot="1" x14ac:dyDescent="0.3">
      <c r="A29" s="70" t="s">
        <v>304</v>
      </c>
      <c r="B29" s="70" t="s">
        <v>309</v>
      </c>
      <c r="C29" s="74"/>
      <c r="D29" s="67"/>
      <c r="E29" s="67"/>
      <c r="F29" s="67"/>
      <c r="G29" s="67"/>
    </row>
    <row r="30" spans="1:7" ht="21" thickBot="1" x14ac:dyDescent="0.3">
      <c r="A30" s="70" t="s">
        <v>305</v>
      </c>
      <c r="B30" s="70" t="s">
        <v>310</v>
      </c>
      <c r="C30" s="74"/>
      <c r="D30" s="67"/>
      <c r="E30" s="67"/>
      <c r="F30" s="67"/>
      <c r="G30" s="67"/>
    </row>
    <row r="31" spans="1:7" ht="21" thickBot="1" x14ac:dyDescent="0.3">
      <c r="A31" s="70" t="s">
        <v>306</v>
      </c>
      <c r="B31" s="70" t="s">
        <v>311</v>
      </c>
      <c r="C31" s="74"/>
      <c r="D31" s="67"/>
      <c r="E31" s="67"/>
      <c r="F31" s="67"/>
      <c r="G31" s="67"/>
    </row>
    <row r="32" spans="1:7" ht="21" thickBot="1" x14ac:dyDescent="0.3">
      <c r="A32" s="70" t="s">
        <v>307</v>
      </c>
      <c r="B32" s="70" t="s">
        <v>312</v>
      </c>
      <c r="C32" s="74"/>
      <c r="D32" s="67"/>
      <c r="E32" s="67"/>
      <c r="F32" s="67"/>
      <c r="G32" s="67"/>
    </row>
    <row r="33" spans="1:7" ht="21" thickBot="1" x14ac:dyDescent="0.3">
      <c r="A33" s="70" t="s">
        <v>313</v>
      </c>
      <c r="B33" s="70" t="s">
        <v>315</v>
      </c>
      <c r="C33" s="74"/>
      <c r="D33" s="67"/>
      <c r="E33" s="67"/>
      <c r="F33" s="67"/>
      <c r="G33" s="67"/>
    </row>
    <row r="34" spans="1:7" ht="21" thickBot="1" x14ac:dyDescent="0.3">
      <c r="A34" s="70" t="s">
        <v>314</v>
      </c>
      <c r="B34" s="70" t="s">
        <v>316</v>
      </c>
      <c r="C34" s="74"/>
      <c r="D34" s="67"/>
      <c r="E34" s="67"/>
      <c r="F34" s="67"/>
      <c r="G34" s="67"/>
    </row>
    <row r="35" spans="1:7" ht="21" thickBot="1" x14ac:dyDescent="0.3">
      <c r="A35" s="70" t="s">
        <v>317</v>
      </c>
      <c r="B35" s="70" t="s">
        <v>318</v>
      </c>
      <c r="C35" s="74"/>
      <c r="D35" s="67"/>
      <c r="E35" s="67"/>
      <c r="F35" s="67"/>
      <c r="G35" s="67"/>
    </row>
    <row r="36" spans="1:7" ht="21" thickBot="1" x14ac:dyDescent="0.3">
      <c r="A36" s="70" t="s">
        <v>320</v>
      </c>
      <c r="B36" s="70" t="s">
        <v>319</v>
      </c>
      <c r="C36" s="74"/>
      <c r="D36" s="67"/>
      <c r="E36" s="67"/>
      <c r="F36" s="67"/>
      <c r="G36" s="67"/>
    </row>
    <row r="37" spans="1:7" ht="21" thickBot="1" x14ac:dyDescent="0.3">
      <c r="A37" s="70" t="s">
        <v>321</v>
      </c>
      <c r="B37" s="70" t="s">
        <v>322</v>
      </c>
      <c r="C37" s="74"/>
      <c r="D37" s="67"/>
      <c r="E37" s="67"/>
      <c r="F37" s="67"/>
      <c r="G37" s="67"/>
    </row>
    <row r="38" spans="1:7" x14ac:dyDescent="0.25">
      <c r="A38" s="67"/>
      <c r="B38" s="67"/>
      <c r="C38" s="67"/>
      <c r="D38" s="67"/>
      <c r="E38" s="67"/>
      <c r="F38" s="67"/>
      <c r="G38" s="67"/>
    </row>
    <row r="39" spans="1:7" x14ac:dyDescent="0.25">
      <c r="A39" s="67"/>
      <c r="B39" s="67"/>
      <c r="C39" s="67"/>
      <c r="D39" s="67"/>
      <c r="E39" s="67"/>
      <c r="F39" s="67"/>
      <c r="G39" s="67"/>
    </row>
    <row r="40" spans="1:7" x14ac:dyDescent="0.25">
      <c r="A40" s="67"/>
      <c r="B40" s="67"/>
      <c r="C40" s="67"/>
      <c r="D40" s="67"/>
      <c r="E40" s="67"/>
      <c r="F40" s="67"/>
      <c r="G40" s="67"/>
    </row>
    <row r="41" spans="1:7" x14ac:dyDescent="0.25">
      <c r="A41" s="67"/>
      <c r="B41" s="67"/>
      <c r="C41" s="67"/>
      <c r="D41" s="67"/>
      <c r="E41" s="67"/>
      <c r="F41" s="67"/>
      <c r="G41" s="67"/>
    </row>
    <row r="42" spans="1:7" x14ac:dyDescent="0.25">
      <c r="A42" s="67"/>
      <c r="B42" s="67"/>
      <c r="C42" s="67"/>
      <c r="D42" s="67"/>
      <c r="E42" s="67"/>
      <c r="F42" s="67"/>
      <c r="G42" s="67"/>
    </row>
    <row r="43" spans="1:7" x14ac:dyDescent="0.25">
      <c r="A43" s="67"/>
      <c r="B43" s="67"/>
      <c r="C43" s="67"/>
      <c r="D43" s="67"/>
      <c r="E43" s="67"/>
      <c r="F43" s="67"/>
      <c r="G43" s="67"/>
    </row>
    <row r="44" spans="1:7" x14ac:dyDescent="0.25">
      <c r="A44" s="67"/>
      <c r="B44" s="67"/>
      <c r="C44" s="67"/>
      <c r="D44" s="67"/>
      <c r="E44" s="67"/>
      <c r="F44" s="67"/>
      <c r="G44" s="67"/>
    </row>
    <row r="45" spans="1:7" x14ac:dyDescent="0.25">
      <c r="A45" s="67"/>
      <c r="B45" s="67"/>
      <c r="C45" s="67"/>
      <c r="D45" s="67"/>
      <c r="E45" s="67"/>
      <c r="F45" s="67"/>
      <c r="G45" s="67"/>
    </row>
    <row r="46" spans="1:7" x14ac:dyDescent="0.25">
      <c r="A46" s="67"/>
      <c r="B46" s="67"/>
      <c r="C46" s="67"/>
      <c r="D46" s="67"/>
      <c r="E46" s="67"/>
      <c r="F46" s="67"/>
      <c r="G46" s="67"/>
    </row>
    <row r="47" spans="1:7" x14ac:dyDescent="0.25">
      <c r="A47" s="67"/>
      <c r="B47" s="67"/>
      <c r="C47" s="67"/>
      <c r="D47" s="67"/>
      <c r="E47" s="67"/>
      <c r="F47" s="67"/>
      <c r="G47" s="67"/>
    </row>
    <row r="48" spans="1:7" x14ac:dyDescent="0.25">
      <c r="A48" s="67"/>
      <c r="B48" s="67"/>
      <c r="C48" s="67"/>
      <c r="D48" s="67"/>
      <c r="E48" s="67"/>
      <c r="F48" s="67"/>
      <c r="G48" s="67"/>
    </row>
    <row r="49" spans="1:7" x14ac:dyDescent="0.25">
      <c r="A49" s="67"/>
      <c r="B49" s="67"/>
      <c r="C49" s="67"/>
      <c r="D49" s="67"/>
      <c r="E49" s="67"/>
      <c r="F49" s="67"/>
      <c r="G49" s="67"/>
    </row>
    <row r="50" spans="1:7" x14ac:dyDescent="0.25">
      <c r="A50" s="67"/>
      <c r="B50" s="67"/>
      <c r="C50" s="67"/>
      <c r="D50" s="67"/>
      <c r="E50" s="67"/>
      <c r="F50" s="67"/>
      <c r="G50" s="67"/>
    </row>
    <row r="51" spans="1:7" x14ac:dyDescent="0.25">
      <c r="A51" s="67"/>
      <c r="B51" s="67"/>
      <c r="C51" s="67"/>
      <c r="D51" s="67"/>
      <c r="E51" s="67"/>
      <c r="F51" s="67"/>
      <c r="G51" s="67"/>
    </row>
    <row r="52" spans="1:7" x14ac:dyDescent="0.25">
      <c r="A52" s="67"/>
      <c r="B52" s="67"/>
      <c r="C52" s="67"/>
      <c r="D52" s="67"/>
      <c r="E52" s="67"/>
      <c r="F52" s="67"/>
      <c r="G52" s="67"/>
    </row>
    <row r="53" spans="1:7" x14ac:dyDescent="0.25">
      <c r="A53" s="67"/>
      <c r="B53" s="67"/>
      <c r="C53" s="67"/>
      <c r="D53" s="67"/>
      <c r="E53" s="67"/>
      <c r="F53" s="67"/>
      <c r="G53" s="67"/>
    </row>
    <row r="54" spans="1:7" x14ac:dyDescent="0.25">
      <c r="A54" s="67"/>
      <c r="B54" s="67"/>
      <c r="C54" s="67"/>
      <c r="D54" s="67"/>
      <c r="E54" s="67"/>
      <c r="F54" s="67"/>
      <c r="G54" s="67"/>
    </row>
    <row r="55" spans="1:7" x14ac:dyDescent="0.25">
      <c r="A55" s="67"/>
      <c r="B55" s="67"/>
      <c r="C55" s="67"/>
      <c r="D55" s="67"/>
      <c r="E55" s="67"/>
      <c r="F55" s="67"/>
      <c r="G55" s="67"/>
    </row>
    <row r="56" spans="1:7" x14ac:dyDescent="0.25">
      <c r="A56" s="67"/>
      <c r="B56" s="67"/>
      <c r="C56" s="67"/>
      <c r="D56" s="67"/>
      <c r="E56" s="67"/>
      <c r="F56" s="67"/>
      <c r="G56" s="67"/>
    </row>
    <row r="57" spans="1:7" x14ac:dyDescent="0.25">
      <c r="A57" s="67"/>
      <c r="B57" s="67"/>
      <c r="C57" s="67"/>
      <c r="D57" s="67"/>
      <c r="E57" s="67"/>
      <c r="F57" s="67"/>
      <c r="G57" s="67"/>
    </row>
    <row r="58" spans="1:7" x14ac:dyDescent="0.25">
      <c r="A58" s="67"/>
      <c r="B58" s="67"/>
      <c r="C58" s="67"/>
      <c r="D58" s="67"/>
      <c r="E58" s="67"/>
      <c r="F58" s="67"/>
      <c r="G58" s="67"/>
    </row>
    <row r="59" spans="1:7" x14ac:dyDescent="0.25">
      <c r="A59" s="67"/>
      <c r="B59" s="67"/>
      <c r="C59" s="67"/>
      <c r="D59" s="67"/>
      <c r="E59" s="67"/>
      <c r="F59" s="67"/>
      <c r="G59" s="67"/>
    </row>
    <row r="60" spans="1:7" x14ac:dyDescent="0.25">
      <c r="A60" s="67"/>
      <c r="B60" s="67"/>
      <c r="C60" s="67"/>
      <c r="D60" s="67"/>
      <c r="E60" s="67"/>
      <c r="F60" s="67"/>
      <c r="G60" s="67"/>
    </row>
    <row r="61" spans="1:7" x14ac:dyDescent="0.25">
      <c r="A61" s="67"/>
      <c r="B61" s="67"/>
      <c r="C61" s="67"/>
      <c r="D61" s="67"/>
      <c r="E61" s="67"/>
      <c r="F61" s="67"/>
      <c r="G61" s="67"/>
    </row>
    <row r="62" spans="1:7" x14ac:dyDescent="0.25">
      <c r="A62" s="67"/>
      <c r="B62" s="67"/>
      <c r="C62" s="67"/>
      <c r="D62" s="67"/>
      <c r="E62" s="67"/>
      <c r="F62" s="67"/>
      <c r="G62" s="67"/>
    </row>
    <row r="63" spans="1:7" x14ac:dyDescent="0.25">
      <c r="A63" s="67"/>
      <c r="B63" s="67"/>
      <c r="C63" s="67"/>
      <c r="D63" s="67"/>
      <c r="E63" s="67"/>
      <c r="F63" s="67"/>
      <c r="G63" s="67"/>
    </row>
    <row r="64" spans="1:7" x14ac:dyDescent="0.25">
      <c r="A64" s="67"/>
      <c r="B64" s="67"/>
      <c r="C64" s="67"/>
      <c r="D64" s="67"/>
      <c r="E64" s="67"/>
      <c r="F64" s="67"/>
      <c r="G64" s="67"/>
    </row>
    <row r="65" spans="1:7" x14ac:dyDescent="0.25">
      <c r="A65" s="67"/>
      <c r="B65" s="67"/>
      <c r="C65" s="67"/>
      <c r="D65" s="67"/>
      <c r="E65" s="67"/>
      <c r="F65" s="67"/>
      <c r="G65" s="67"/>
    </row>
    <row r="66" spans="1:7" x14ac:dyDescent="0.25">
      <c r="A66" s="67"/>
      <c r="B66" s="67"/>
      <c r="C66" s="67"/>
      <c r="D66" s="67"/>
      <c r="E66" s="67"/>
      <c r="F66" s="67"/>
      <c r="G66" s="67"/>
    </row>
    <row r="67" spans="1:7" x14ac:dyDescent="0.25">
      <c r="A67" s="67"/>
      <c r="B67" s="67"/>
      <c r="C67" s="67"/>
      <c r="D67" s="67"/>
      <c r="E67" s="67"/>
      <c r="F67" s="67"/>
      <c r="G67" s="67"/>
    </row>
    <row r="68" spans="1:7" x14ac:dyDescent="0.25">
      <c r="A68" s="67"/>
      <c r="B68" s="67"/>
      <c r="C68" s="67"/>
      <c r="D68" s="67"/>
      <c r="E68" s="67"/>
      <c r="F68" s="67"/>
      <c r="G68" s="67"/>
    </row>
    <row r="69" spans="1:7" x14ac:dyDescent="0.25">
      <c r="A69" s="67"/>
      <c r="B69" s="67"/>
      <c r="C69" s="67"/>
      <c r="D69" s="67"/>
      <c r="E69" s="67"/>
      <c r="F69" s="67"/>
      <c r="G69" s="67"/>
    </row>
  </sheetData>
  <mergeCells count="1">
    <mergeCell ref="A1:D1"/>
  </mergeCell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5C0C77CC-1482-CB49-9808-11182E3DEE04}">
          <x14:formula1>
            <xm:f>'Lookups Clarity'!$A$3:$A$5</xm:f>
          </x14:formula1>
          <xm:sqref>C17 C13:C15 C20:C21</xm:sqref>
        </x14:dataValidation>
        <x14:dataValidation type="list" allowBlank="1" showInputMessage="1" showErrorMessage="1" xr:uid="{D789B2AE-1759-0A44-99E7-6F4F1FA4484C}">
          <x14:formula1>
            <xm:f>'Lookups PS'!$A$9:$A$11</xm:f>
          </x14:formula1>
          <xm:sqref>C9</xm:sqref>
        </x14:dataValidation>
        <x14:dataValidation type="list" allowBlank="1" showInputMessage="1" showErrorMessage="1" xr:uid="{3A1CAFC4-AC3E-7946-AD3B-F1174C91022C}">
          <x14:formula1>
            <xm:f>'Lookups PS'!$A$14:$A$17</xm:f>
          </x14:formula1>
          <xm:sqref>C10</xm:sqref>
        </x14:dataValidation>
        <x14:dataValidation type="list" allowBlank="1" showInputMessage="1" showErrorMessage="1" xr:uid="{AB944B96-5E63-524D-BF30-F52AEE714134}">
          <x14:formula1>
            <xm:f>'Lookups PS'!$C$3:$C$7</xm:f>
          </x14:formula1>
          <xm:sqref>C11</xm:sqref>
        </x14:dataValidation>
        <x14:dataValidation type="list" allowBlank="1" showInputMessage="1" showErrorMessage="1" xr:uid="{B3BED9B6-A1BF-5A42-AFA3-C5CBD532D0B0}">
          <x14:formula1>
            <xm:f>'Lookups PS'!$C$11:$C$15</xm:f>
          </x14:formula1>
          <xm:sqref>C12</xm:sqref>
        </x14:dataValidation>
        <x14:dataValidation type="list" allowBlank="1" showInputMessage="1" showErrorMessage="1" xr:uid="{1CCD8967-8390-3E42-B5BC-9E96356C30E0}">
          <x14:formula1>
            <xm:f>'Lookups PS'!$A$20:$A$23</xm:f>
          </x14:formula1>
          <xm:sqref>C16</xm:sqref>
        </x14:dataValidation>
        <x14:dataValidation type="list" allowBlank="1" showInputMessage="1" showErrorMessage="1" xr:uid="{C9130517-32AD-F043-B246-327DBC5D1E68}">
          <x14:formula1>
            <xm:f>'Lookups PS'!$C$19:$C$23</xm:f>
          </x14:formula1>
          <xm:sqref>C18</xm:sqref>
        </x14:dataValidation>
        <x14:dataValidation type="list" allowBlank="1" showInputMessage="1" showErrorMessage="1" xr:uid="{7BD1F2EC-3A26-3241-AF4E-7ED67E3428F0}">
          <x14:formula1>
            <xm:f>'Lookups PS'!$E$3:$E$6</xm:f>
          </x14:formula1>
          <xm:sqref>C19</xm:sqref>
        </x14:dataValidation>
        <x14:dataValidation type="list" allowBlank="1" showInputMessage="1" showErrorMessage="1" xr:uid="{C141180F-FA33-0449-8FEC-6BB83E793995}">
          <x14:formula1>
            <xm:f>'Lookups PS'!$E$11:$E$13</xm:f>
          </x14:formula1>
          <xm:sqref>C26:C37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975F-8BF6-E140-98BD-F3662368560A}">
  <sheetPr codeName="Sheet4"/>
  <dimension ref="A1"/>
  <sheetViews>
    <sheetView workbookViewId="0"/>
  </sheetViews>
  <sheetFormatPr baseColWidth="10" defaultRowHeight="19"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111D-FD46-1844-9CD6-98803F7E77C2}">
  <sheetPr codeName="Sheet1">
    <tabColor theme="0" tint="-0.14999847407452621"/>
  </sheetPr>
  <dimension ref="A2:I35"/>
  <sheetViews>
    <sheetView workbookViewId="0">
      <selection activeCell="A5" sqref="A5"/>
    </sheetView>
  </sheetViews>
  <sheetFormatPr baseColWidth="10" defaultRowHeight="22" x14ac:dyDescent="0.25"/>
  <cols>
    <col min="1" max="1" width="73.85546875" style="13" customWidth="1"/>
    <col min="2" max="2" width="4.28515625" style="13" customWidth="1"/>
    <col min="3" max="3" width="24.42578125" style="13" customWidth="1"/>
    <col min="4" max="4" width="4.42578125" style="13" customWidth="1"/>
    <col min="5" max="5" width="38" style="13" customWidth="1"/>
    <col min="6" max="6" width="4" style="13" customWidth="1"/>
    <col min="7" max="7" width="22.28515625" style="13" customWidth="1"/>
    <col min="8" max="8" width="5.42578125" style="13" customWidth="1"/>
    <col min="9" max="9" width="40.28515625" style="13" customWidth="1"/>
    <col min="10" max="16384" width="10.7109375" style="13"/>
  </cols>
  <sheetData>
    <row r="2" spans="1:9" x14ac:dyDescent="0.3">
      <c r="A2" s="12" t="s">
        <v>70</v>
      </c>
      <c r="C2" s="15" t="s">
        <v>87</v>
      </c>
      <c r="E2" s="12" t="s">
        <v>95</v>
      </c>
      <c r="G2" s="19" t="s">
        <v>112</v>
      </c>
      <c r="I2" s="20" t="s">
        <v>117</v>
      </c>
    </row>
    <row r="3" spans="1:9" ht="23" x14ac:dyDescent="0.3">
      <c r="A3" s="14" t="s">
        <v>71</v>
      </c>
      <c r="C3" s="14" t="s">
        <v>71</v>
      </c>
      <c r="E3" s="52" t="s">
        <v>96</v>
      </c>
      <c r="G3" s="14" t="s">
        <v>113</v>
      </c>
      <c r="I3" s="21" t="s">
        <v>118</v>
      </c>
    </row>
    <row r="4" spans="1:9" ht="23" x14ac:dyDescent="0.3">
      <c r="A4" s="14" t="s">
        <v>72</v>
      </c>
      <c r="C4" s="14" t="s">
        <v>72</v>
      </c>
      <c r="E4" s="52" t="s">
        <v>97</v>
      </c>
      <c r="G4" s="14" t="s">
        <v>114</v>
      </c>
      <c r="I4" s="21" t="s">
        <v>119</v>
      </c>
    </row>
    <row r="5" spans="1:9" ht="23" x14ac:dyDescent="0.3">
      <c r="A5" s="14" t="s">
        <v>73</v>
      </c>
      <c r="C5" s="14" t="s">
        <v>82</v>
      </c>
      <c r="E5" s="52" t="s">
        <v>98</v>
      </c>
      <c r="G5" s="14" t="s">
        <v>115</v>
      </c>
      <c r="I5" s="21" t="s">
        <v>120</v>
      </c>
    </row>
    <row r="6" spans="1:9" x14ac:dyDescent="0.3">
      <c r="E6" s="52" t="s">
        <v>99</v>
      </c>
      <c r="G6" s="14" t="s">
        <v>116</v>
      </c>
      <c r="I6" s="14" t="s">
        <v>121</v>
      </c>
    </row>
    <row r="7" spans="1:9" x14ac:dyDescent="0.3">
      <c r="A7" s="12" t="s">
        <v>74</v>
      </c>
      <c r="E7" s="52"/>
      <c r="I7" s="14"/>
    </row>
    <row r="8" spans="1:9" x14ac:dyDescent="0.3">
      <c r="A8" s="14" t="s">
        <v>75</v>
      </c>
      <c r="C8" s="12" t="s">
        <v>83</v>
      </c>
      <c r="E8" s="52"/>
      <c r="I8" s="14"/>
    </row>
    <row r="9" spans="1:9" x14ac:dyDescent="0.3">
      <c r="A9" s="14" t="s">
        <v>76</v>
      </c>
      <c r="C9" s="14" t="s">
        <v>84</v>
      </c>
      <c r="I9" s="20" t="s">
        <v>122</v>
      </c>
    </row>
    <row r="10" spans="1:9" x14ac:dyDescent="0.3">
      <c r="A10" s="14" t="s">
        <v>77</v>
      </c>
      <c r="C10" s="14" t="s">
        <v>85</v>
      </c>
      <c r="I10" s="14" t="s">
        <v>123</v>
      </c>
    </row>
    <row r="11" spans="1:9" x14ac:dyDescent="0.3">
      <c r="A11" s="14" t="s">
        <v>79</v>
      </c>
      <c r="C11" s="14" t="s">
        <v>86</v>
      </c>
      <c r="I11" s="14" t="s">
        <v>124</v>
      </c>
    </row>
    <row r="12" spans="1:9" x14ac:dyDescent="0.3">
      <c r="A12" s="13" t="s">
        <v>78</v>
      </c>
      <c r="E12" s="16" t="s">
        <v>100</v>
      </c>
      <c r="I12" s="14" t="s">
        <v>125</v>
      </c>
    </row>
    <row r="13" spans="1:9" x14ac:dyDescent="0.3">
      <c r="E13" s="17" t="s">
        <v>101</v>
      </c>
      <c r="I13" s="14" t="s">
        <v>126</v>
      </c>
    </row>
    <row r="14" spans="1:9" x14ac:dyDescent="0.3">
      <c r="E14" s="17" t="s">
        <v>102</v>
      </c>
      <c r="I14" s="14" t="s">
        <v>127</v>
      </c>
    </row>
    <row r="15" spans="1:9" x14ac:dyDescent="0.3">
      <c r="A15" s="12" t="s">
        <v>80</v>
      </c>
      <c r="E15" s="17" t="s">
        <v>103</v>
      </c>
      <c r="I15" s="14"/>
    </row>
    <row r="16" spans="1:9" x14ac:dyDescent="0.3">
      <c r="A16" s="13" t="s">
        <v>81</v>
      </c>
      <c r="C16" s="12" t="s">
        <v>104</v>
      </c>
      <c r="E16" s="17" t="s">
        <v>98</v>
      </c>
      <c r="I16" s="14"/>
    </row>
    <row r="17" spans="1:9" x14ac:dyDescent="0.3">
      <c r="C17" s="14" t="s">
        <v>105</v>
      </c>
      <c r="I17" s="20" t="s">
        <v>128</v>
      </c>
    </row>
    <row r="18" spans="1:9" x14ac:dyDescent="0.3">
      <c r="C18" s="14" t="s">
        <v>106</v>
      </c>
      <c r="I18" s="14" t="s">
        <v>129</v>
      </c>
    </row>
    <row r="19" spans="1:9" x14ac:dyDescent="0.3">
      <c r="A19" s="12" t="s">
        <v>88</v>
      </c>
      <c r="C19" s="18" t="s">
        <v>107</v>
      </c>
      <c r="E19" s="16" t="s">
        <v>141</v>
      </c>
      <c r="I19" s="14" t="s">
        <v>130</v>
      </c>
    </row>
    <row r="20" spans="1:9" x14ac:dyDescent="0.3">
      <c r="A20" s="14" t="s">
        <v>139</v>
      </c>
      <c r="C20" s="13" t="s">
        <v>108</v>
      </c>
      <c r="E20" s="13" t="s">
        <v>142</v>
      </c>
      <c r="I20" s="14" t="s">
        <v>131</v>
      </c>
    </row>
    <row r="21" spans="1:9" x14ac:dyDescent="0.3">
      <c r="A21" s="14" t="s">
        <v>89</v>
      </c>
      <c r="C21" s="13" t="s">
        <v>109</v>
      </c>
      <c r="E21" s="13" t="s">
        <v>143</v>
      </c>
      <c r="I21" s="14" t="s">
        <v>132</v>
      </c>
    </row>
    <row r="22" spans="1:9" x14ac:dyDescent="0.3">
      <c r="A22" s="14" t="s">
        <v>90</v>
      </c>
      <c r="C22" s="13" t="s">
        <v>110</v>
      </c>
      <c r="I22" s="14" t="s">
        <v>133</v>
      </c>
    </row>
    <row r="23" spans="1:9" x14ac:dyDescent="0.3">
      <c r="A23" s="14" t="s">
        <v>91</v>
      </c>
      <c r="C23" s="13" t="s">
        <v>111</v>
      </c>
      <c r="I23" s="14" t="s">
        <v>134</v>
      </c>
    </row>
    <row r="24" spans="1:9" x14ac:dyDescent="0.3">
      <c r="A24" s="14"/>
      <c r="I24" s="14" t="s">
        <v>135</v>
      </c>
    </row>
    <row r="25" spans="1:9" x14ac:dyDescent="0.3">
      <c r="A25" s="14"/>
      <c r="I25" s="14" t="s">
        <v>136</v>
      </c>
    </row>
    <row r="26" spans="1:9" x14ac:dyDescent="0.3">
      <c r="A26" s="12" t="s">
        <v>140</v>
      </c>
      <c r="I26" s="14" t="s">
        <v>137</v>
      </c>
    </row>
    <row r="27" spans="1:9" x14ac:dyDescent="0.3">
      <c r="A27" s="14" t="s">
        <v>92</v>
      </c>
      <c r="I27" s="14" t="s">
        <v>138</v>
      </c>
    </row>
    <row r="28" spans="1:9" x14ac:dyDescent="0.3">
      <c r="A28" s="14" t="s">
        <v>93</v>
      </c>
      <c r="I28" s="14"/>
    </row>
    <row r="29" spans="1:9" x14ac:dyDescent="0.3">
      <c r="A29" s="14" t="s">
        <v>94</v>
      </c>
      <c r="I29" s="14"/>
    </row>
    <row r="32" spans="1:9" x14ac:dyDescent="0.3">
      <c r="A32" s="12" t="s">
        <v>249</v>
      </c>
    </row>
    <row r="33" spans="1:1" x14ac:dyDescent="0.3">
      <c r="A33" s="14" t="s">
        <v>72</v>
      </c>
    </row>
    <row r="34" spans="1:1" x14ac:dyDescent="0.3">
      <c r="A34" s="14" t="s">
        <v>250</v>
      </c>
    </row>
    <row r="35" spans="1:1" x14ac:dyDescent="0.3">
      <c r="A35" s="14" t="s">
        <v>251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DBDCD-636D-2147-8E09-C38EC022641D}">
  <sheetPr codeName="Sheet7">
    <tabColor theme="0" tint="-0.14999847407452621"/>
  </sheetPr>
  <dimension ref="A1:J32"/>
  <sheetViews>
    <sheetView zoomScaleNormal="100" workbookViewId="0">
      <selection activeCell="E11" sqref="E11:E13"/>
    </sheetView>
  </sheetViews>
  <sheetFormatPr baseColWidth="10" defaultRowHeight="22" x14ac:dyDescent="0.25"/>
  <cols>
    <col min="1" max="1" width="73.85546875" style="13" customWidth="1"/>
    <col min="2" max="2" width="4.28515625" style="13" customWidth="1"/>
    <col min="3" max="3" width="24.42578125" style="13" customWidth="1"/>
    <col min="4" max="4" width="4.42578125" style="13" customWidth="1"/>
    <col min="5" max="5" width="38" style="13" customWidth="1"/>
    <col min="6" max="6" width="4" style="13" customWidth="1"/>
    <col min="7" max="7" width="22.28515625" style="13" customWidth="1"/>
    <col min="8" max="8" width="5.42578125" style="13" customWidth="1"/>
    <col min="9" max="9" width="40.28515625" style="13" customWidth="1"/>
    <col min="10" max="16384" width="10.7109375" style="13"/>
  </cols>
  <sheetData>
    <row r="1" spans="1:10" x14ac:dyDescent="0.25">
      <c r="C1"/>
      <c r="D1"/>
      <c r="E1"/>
      <c r="F1"/>
      <c r="G1"/>
      <c r="H1"/>
      <c r="I1"/>
      <c r="J1"/>
    </row>
    <row r="2" spans="1:10" x14ac:dyDescent="0.3">
      <c r="A2" s="51" t="s">
        <v>145</v>
      </c>
      <c r="C2" s="51" t="s">
        <v>153</v>
      </c>
      <c r="D2"/>
      <c r="E2" s="51" t="s">
        <v>167</v>
      </c>
      <c r="F2"/>
      <c r="G2"/>
      <c r="H2"/>
      <c r="I2"/>
      <c r="J2"/>
    </row>
    <row r="3" spans="1:10" x14ac:dyDescent="0.3">
      <c r="A3" s="52" t="s">
        <v>116</v>
      </c>
      <c r="C3" s="52" t="s">
        <v>155</v>
      </c>
      <c r="D3"/>
      <c r="E3" s="52" t="s">
        <v>169</v>
      </c>
      <c r="F3"/>
      <c r="G3"/>
      <c r="H3"/>
      <c r="I3"/>
      <c r="J3"/>
    </row>
    <row r="4" spans="1:10" x14ac:dyDescent="0.3">
      <c r="A4" s="53" t="s">
        <v>115</v>
      </c>
      <c r="C4" s="52" t="s">
        <v>156</v>
      </c>
      <c r="D4"/>
      <c r="E4" s="52" t="s">
        <v>168</v>
      </c>
      <c r="F4"/>
      <c r="G4"/>
      <c r="H4"/>
      <c r="I4"/>
      <c r="J4"/>
    </row>
    <row r="5" spans="1:10" x14ac:dyDescent="0.3">
      <c r="A5" s="52" t="s">
        <v>114</v>
      </c>
      <c r="C5" s="52" t="s">
        <v>284</v>
      </c>
      <c r="D5"/>
      <c r="E5" s="52" t="s">
        <v>183</v>
      </c>
      <c r="F5"/>
      <c r="G5"/>
      <c r="H5"/>
      <c r="I5"/>
      <c r="J5"/>
    </row>
    <row r="6" spans="1:10" x14ac:dyDescent="0.3">
      <c r="A6" s="52" t="s">
        <v>113</v>
      </c>
      <c r="C6" s="52" t="s">
        <v>283</v>
      </c>
      <c r="D6"/>
      <c r="E6" s="52" t="s">
        <v>170</v>
      </c>
      <c r="F6"/>
      <c r="G6"/>
      <c r="H6"/>
      <c r="I6"/>
      <c r="J6"/>
    </row>
    <row r="7" spans="1:10" customFormat="1" x14ac:dyDescent="0.3">
      <c r="C7" s="52" t="s">
        <v>154</v>
      </c>
    </row>
    <row r="8" spans="1:10" customFormat="1" x14ac:dyDescent="0.3">
      <c r="A8" s="51" t="s">
        <v>146</v>
      </c>
    </row>
    <row r="9" spans="1:10" customFormat="1" x14ac:dyDescent="0.3">
      <c r="A9" s="52" t="s">
        <v>147</v>
      </c>
    </row>
    <row r="10" spans="1:10" customFormat="1" x14ac:dyDescent="0.3">
      <c r="A10" s="52" t="s">
        <v>148</v>
      </c>
      <c r="C10" s="51" t="s">
        <v>157</v>
      </c>
      <c r="E10" s="51" t="s">
        <v>323</v>
      </c>
    </row>
    <row r="11" spans="1:10" customFormat="1" x14ac:dyDescent="0.3">
      <c r="A11" s="52" t="s">
        <v>78</v>
      </c>
      <c r="C11" s="52" t="s">
        <v>158</v>
      </c>
      <c r="E11" s="52" t="s">
        <v>325</v>
      </c>
    </row>
    <row r="12" spans="1:10" customFormat="1" x14ac:dyDescent="0.3">
      <c r="C12" s="52" t="s">
        <v>159</v>
      </c>
      <c r="E12" s="52" t="s">
        <v>324</v>
      </c>
    </row>
    <row r="13" spans="1:10" customFormat="1" x14ac:dyDescent="0.3">
      <c r="A13" s="51" t="s">
        <v>149</v>
      </c>
      <c r="C13" s="52" t="s">
        <v>160</v>
      </c>
      <c r="E13" s="52" t="s">
        <v>84</v>
      </c>
    </row>
    <row r="14" spans="1:10" customFormat="1" x14ac:dyDescent="0.3">
      <c r="A14" s="52" t="s">
        <v>151</v>
      </c>
      <c r="C14" s="52" t="s">
        <v>285</v>
      </c>
    </row>
    <row r="15" spans="1:10" customFormat="1" x14ac:dyDescent="0.3">
      <c r="A15" s="52" t="s">
        <v>150</v>
      </c>
      <c r="C15" s="52" t="s">
        <v>78</v>
      </c>
    </row>
    <row r="16" spans="1:10" customFormat="1" x14ac:dyDescent="0.3">
      <c r="A16" s="52" t="s">
        <v>184</v>
      </c>
      <c r="C16" s="52"/>
    </row>
    <row r="17" spans="1:5" customFormat="1" x14ac:dyDescent="0.3">
      <c r="A17" s="52" t="s">
        <v>152</v>
      </c>
    </row>
    <row r="18" spans="1:5" customFormat="1" x14ac:dyDescent="0.3">
      <c r="C18" s="51" t="s">
        <v>163</v>
      </c>
    </row>
    <row r="19" spans="1:5" customFormat="1" x14ac:dyDescent="0.3">
      <c r="A19" s="51" t="s">
        <v>161</v>
      </c>
      <c r="C19" s="52" t="s">
        <v>154</v>
      </c>
    </row>
    <row r="20" spans="1:5" customFormat="1" x14ac:dyDescent="0.3">
      <c r="A20" s="52" t="s">
        <v>162</v>
      </c>
      <c r="C20" s="52" t="s">
        <v>164</v>
      </c>
    </row>
    <row r="21" spans="1:5" customFormat="1" x14ac:dyDescent="0.3">
      <c r="A21" s="52" t="s">
        <v>188</v>
      </c>
      <c r="C21" s="52" t="s">
        <v>165</v>
      </c>
    </row>
    <row r="22" spans="1:5" customFormat="1" x14ac:dyDescent="0.3">
      <c r="A22" s="52" t="s">
        <v>187</v>
      </c>
      <c r="C22" s="52" t="s">
        <v>286</v>
      </c>
    </row>
    <row r="23" spans="1:5" customFormat="1" x14ac:dyDescent="0.3">
      <c r="A23" s="52" t="s">
        <v>183</v>
      </c>
      <c r="C23" s="52" t="s">
        <v>166</v>
      </c>
    </row>
    <row r="24" spans="1:5" customFormat="1" x14ac:dyDescent="0.3">
      <c r="A24" s="52"/>
    </row>
    <row r="25" spans="1:5" customFormat="1" ht="19" x14ac:dyDescent="0.25"/>
    <row r="26" spans="1:5" customFormat="1" ht="19" x14ac:dyDescent="0.25"/>
    <row r="27" spans="1:5" customFormat="1" ht="19" x14ac:dyDescent="0.25"/>
    <row r="28" spans="1:5" customFormat="1" ht="19" x14ac:dyDescent="0.25"/>
    <row r="29" spans="1:5" customFormat="1" ht="19" x14ac:dyDescent="0.25"/>
    <row r="30" spans="1:5" customFormat="1" x14ac:dyDescent="0.25">
      <c r="A30" s="13"/>
    </row>
    <row r="31" spans="1:5" customFormat="1" x14ac:dyDescent="0.25">
      <c r="A31" s="13"/>
      <c r="B31" s="13"/>
      <c r="D31" s="13"/>
      <c r="E31" s="13"/>
    </row>
    <row r="32" spans="1:5" x14ac:dyDescent="0.25">
      <c r="C32"/>
    </row>
  </sheetData>
  <sortState xmlns:xlrd2="http://schemas.microsoft.com/office/spreadsheetml/2017/richdata2" ref="C3:C7">
    <sortCondition ref="C3:C7"/>
  </sortState>
  <pageMargins left="0.7" right="0.7" top="0.75" bottom="0.75" header="0.3" footer="0.3"/>
</worksheet>
</file>

<file path=docMetadata/LabelInfo.xml><?xml version="1.0" encoding="utf-8"?>
<clbl:labelList xmlns:clbl="http://schemas.microsoft.com/office/2020/mipLabelMetadata">
  <clbl:label id="{4ca0b373-e9b1-4578-8e53-53d6aaa79771}" enabled="1" method="Standard" siteId="{f9465cb1-7889-4d9a-b552-fdd0addf0eb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CLARITY</vt:lpstr>
      <vt:lpstr>Simplified</vt:lpstr>
      <vt:lpstr>Features</vt:lpstr>
      <vt:lpstr>Services</vt:lpstr>
      <vt:lpstr>Case Mgr</vt:lpstr>
      <vt:lpstr>UseCase Map</vt:lpstr>
      <vt:lpstr>Reference Architecture</vt:lpstr>
      <vt:lpstr>Executive</vt:lpstr>
      <vt:lpstr>PS</vt:lpstr>
      <vt:lpstr>Review</vt:lpstr>
      <vt:lpstr>Lookups Clarity</vt:lpstr>
      <vt:lpstr>Lookups 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Eastwood</dc:creator>
  <cp:lastModifiedBy>Mark Eastwood</cp:lastModifiedBy>
  <dcterms:created xsi:type="dcterms:W3CDTF">2025-09-15T14:50:59Z</dcterms:created>
  <dcterms:modified xsi:type="dcterms:W3CDTF">2025-10-17T21:36:15Z</dcterms:modified>
</cp:coreProperties>
</file>